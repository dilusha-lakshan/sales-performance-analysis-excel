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62628CB7-4D0E-498E-A5BA-1214C7A7A1D3}" xr6:coauthVersionLast="47" xr6:coauthVersionMax="47" xr10:uidLastSave="{00000000-0000-0000-0000-000000000000}"/>
  <bookViews>
    <workbookView xWindow="-96" yWindow="0" windowWidth="11712" windowHeight="12336" firstSheet="3" activeTab="3" xr2:uid="{B7497976-6BF0-42CC-AA8A-1BF9F284EB1D}"/>
  </bookViews>
  <sheets>
    <sheet name="Dashboard" sheetId="1" r:id="rId1"/>
    <sheet name="Analysis" sheetId="2" r:id="rId2"/>
    <sheet name="Calculations" sheetId="3" r:id="rId3"/>
    <sheet name="Pivot Analysis" sheetId="6" r:id="rId4"/>
    <sheet name="Sales Data" sheetId="4" r:id="rId5"/>
    <sheet name="Lists" sheetId="5" r:id="rId6"/>
  </sheets>
  <calcPr calcId="191029"/>
  <pivotCaches>
    <pivotCache cacheId="6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4" l="1"/>
  <c r="N7" i="1"/>
  <c r="K7" i="1"/>
  <c r="H7" i="1"/>
  <c r="E7" i="1"/>
  <c r="B7" i="1"/>
  <c r="H8" i="2"/>
  <c r="E6" i="2"/>
  <c r="E7" i="2"/>
  <c r="E8" i="2"/>
  <c r="E9" i="2"/>
  <c r="E5" i="2"/>
  <c r="B18" i="2"/>
  <c r="B19" i="2"/>
  <c r="B12" i="2"/>
  <c r="B6" i="2"/>
  <c r="B7" i="2"/>
  <c r="B8" i="2"/>
  <c r="Q5" i="3"/>
  <c r="Q4" i="3"/>
  <c r="H7" i="2" s="1"/>
  <c r="Q3" i="3"/>
  <c r="H6" i="2" s="1"/>
  <c r="Q2" i="3"/>
  <c r="H5" i="2" s="1"/>
  <c r="N3" i="3"/>
  <c r="N4" i="3"/>
  <c r="N5" i="3"/>
  <c r="N6" i="3"/>
  <c r="N2" i="3"/>
  <c r="K4" i="3"/>
  <c r="B14" i="2" s="1"/>
  <c r="K9" i="3"/>
  <c r="K8" i="3"/>
  <c r="K6" i="3"/>
  <c r="B16" i="2" s="1"/>
  <c r="K5" i="3"/>
  <c r="B15" i="2" s="1"/>
  <c r="K7" i="3"/>
  <c r="B17" i="2" s="1"/>
  <c r="K3" i="3"/>
  <c r="B13" i="2" s="1"/>
  <c r="K2" i="3"/>
  <c r="H5" i="3"/>
  <c r="H7" i="3"/>
  <c r="E16" i="2" s="1"/>
  <c r="H6" i="3"/>
  <c r="E17" i="2" s="1"/>
  <c r="H8" i="3"/>
  <c r="H9" i="3"/>
  <c r="H4" i="3"/>
  <c r="E19" i="2" s="1"/>
  <c r="H2" i="3"/>
  <c r="E15" i="2" s="1"/>
  <c r="H3" i="3"/>
  <c r="E18" i="2" s="1"/>
  <c r="E3" i="3"/>
  <c r="E5" i="3"/>
  <c r="E4" i="3"/>
  <c r="E2" i="3"/>
  <c r="B5" i="2" s="1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E20" i="2" l="1"/>
  <c r="E13" i="2"/>
  <c r="E14" i="2"/>
</calcChain>
</file>

<file path=xl/sharedStrings.xml><?xml version="1.0" encoding="utf-8"?>
<sst xmlns="http://schemas.openxmlformats.org/spreadsheetml/2006/main" count="515" uniqueCount="143">
  <si>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</si>
  <si>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</si>
  <si>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</si>
  <si>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</si>
  <si>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</si>
  <si>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</si>
  <si>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</si>
  <si>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</si>
  <si>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</si>
  <si>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</si>
  <si>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</si>
  <si>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</si>
  <si>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</si>
  <si>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</si>
  <si>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</si>
  <si>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</si>
  <si>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</si>
  <si>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</si>
  <si>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</si>
  <si>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</si>
  <si>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</si>
  <si>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</si>
  <si>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</si>
  <si>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</si>
  <si>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</si>
  <si>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</si>
  <si>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</si>
  <si>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</si>
  <si>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</si>
  <si>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</si>
  <si>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</si>
  <si>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</si>
  <si>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</si>
  <si>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</si>
  <si>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</si>
  <si>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</si>
  <si>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</si>
  <si>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</si>
  <si>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</si>
  <si>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</si>
  <si>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</si>
  <si>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</si>
  <si>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</si>
  <si>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</si>
  <si>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</si>
  <si>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</si>
  <si>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</si>
  <si>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</si>
  <si>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</si>
  <si>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</si>
  <si>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</si>
  <si>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</si>
  <si>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</si>
  <si>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</si>
  <si>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</si>
  <si>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</si>
  <si>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</si>
  <si>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</si>
  <si>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</si>
  <si>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</si>
  <si>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</si>
  <si>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</si>
  <si>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</si>
  <si>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</si>
  <si>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</si>
  <si>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</si>
  <si>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</si>
  <si>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</si>
  <si>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</si>
  <si>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</si>
  <si>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</si>
  <si>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</si>
  <si>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</si>
  <si>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</si>
  <si>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</si>
  <si>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</si>
  <si>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</si>
  <si>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</si>
  <si>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</si>
  <si>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</si>
  <si>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</si>
  <si>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</si>
  <si>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</si>
  <si>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</si>
  <si>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</si>
  <si>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</si>
  <si>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</si>
  <si>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</si>
  <si>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</si>
  <si>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</si>
  <si>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</si>
  <si>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</si>
  <si>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</si>
  <si>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</si>
  <si>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</si>
  <si>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</si>
  <si>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</si>
  <si>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</si>
  <si>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</si>
  <si>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</si>
  <si>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</si>
  <si>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</si>
  <si>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</si>
  <si>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</si>
  <si>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</si>
  <si>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</si>
  <si>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</si>
  <si>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</si>
  <si>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</si>
  <si>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</si>
  <si>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</si>
  <si>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</si>
  <si>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</si>
  <si>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</si>
  <si>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</si>
  <si>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</si>
  <si>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</si>
  <si>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</si>
  <si>
    <t>NOVA TECH SOLUTIONS</t>
  </si>
  <si>
    <t>January - April 2026</t>
  </si>
  <si>
    <t>SALES PERFORMANCE DASHBOARD</t>
  </si>
  <si>
    <t>TOTAL SALES</t>
  </si>
  <si>
    <t>TOTAL ORDERS</t>
  </si>
  <si>
    <t>UNITS SOLD</t>
  </si>
  <si>
    <t>AVG ORDER VALUE</t>
  </si>
  <si>
    <t>HIGHEST SALE</t>
  </si>
  <si>
    <t>KEY INSIGHTS</t>
  </si>
  <si>
    <t>• West generated the highest regional sales.</t>
  </si>
  <si>
    <t>• Laptop was the top-performing product.</t>
  </si>
  <si>
    <t>• Oshada generated the highest sales.</t>
  </si>
  <si>
    <t>• January recorded the highest monthly sales.</t>
  </si>
  <si>
    <t>• Total sales reached 45,285.00</t>
  </si>
  <si>
    <t>Salesperson Filter</t>
  </si>
  <si>
    <t>All</t>
  </si>
  <si>
    <t>Row Labels</t>
  </si>
  <si>
    <t>Grand Total</t>
  </si>
  <si>
    <t>Sum of Total Sales</t>
  </si>
  <si>
    <t>TotalSales</t>
  </si>
  <si>
    <t>2026</t>
  </si>
  <si>
    <t>Jan</t>
  </si>
  <si>
    <t>Feb</t>
  </si>
  <si>
    <t>Mar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</si>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</sst>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LKR]\ #,##0.00;[Red][$LKR]\ #,##0.00"/>
    <numFmt numFmtId="168" formatCode="[$LKR]\ #,##0.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5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0" fillId="4" borderId="0" xfId="0" applyFill="1"/>
    <xf numFmtId="0" fontId="2" fillId="4" borderId="2" xfId="0" applyFont="1" applyFill="1" applyBorder="1" applyAlignment="1">
      <alignment horizontal="center"/>
    </xf>
    <xf numFmtId="0" fontId="0" fillId="4" borderId="0" xfId="0" applyFill="1" applyAlignment="1"/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168" fontId="7" fillId="4" borderId="2" xfId="0" applyNumberFormat="1" applyFont="1" applyFill="1" applyBorder="1" applyAlignment="1">
      <alignment horizontal="center" vertical="center"/>
    </xf>
    <xf numFmtId="168" fontId="0" fillId="4" borderId="0" xfId="0" applyNumberFormat="1" applyFill="1" applyAlignment="1"/>
    <xf numFmtId="168" fontId="8" fillId="4" borderId="2" xfId="0" applyNumberFormat="1" applyFont="1" applyFill="1" applyBorder="1" applyAlignment="1">
      <alignment horizontal="center" vertical="center"/>
    </xf>
    <xf numFmtId="1" fontId="8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30"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70" formatCode="[$-F800]dddd\,\ mmmm\ dd\,\ yyyy"/>
    </dxf>
    <dxf>
      <numFmt numFmtId="170" formatCode="[$-F800]dddd\,\ mmmm\ dd\,\ yyyy"/>
    </dxf>
    <dxf>
      <numFmt numFmtId="19" formatCode="m/d/yyyy"/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Calculations!$Q$1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Calculations!$P$2:$P$5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Calculations!$Q$2:$Q$5</c:f>
              <c:numCache>
                <c:formatCode>General</c:formatCode>
                <c:ptCount val="4"/>
                <c:pt idx="0">
                  <c:v>11400</c:v>
                </c:pt>
                <c:pt idx="1">
                  <c:v>11750</c:v>
                </c:pt>
                <c:pt idx="2">
                  <c:v>14425</c:v>
                </c:pt>
                <c:pt idx="3">
                  <c:v>7710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9-4C2A-A550-823EE7C51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3731263"/>
        <c:axId val="1019689135"/>
      </c:lineChart>
      <c:catAx>
        <c:axId val="107373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689135"/>
        <c:crosses val="autoZero"/>
        <c:auto val="1"/>
        <c:lblAlgn val="ctr"/>
        <c:lblOffset val="100"/>
        <c:noMultiLvlLbl val="0"/>
      </c:catAx>
      <c:valAx>
        <c:axId val="101968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731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Calculations!$E$1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Calculations!$D$2:$D$5</c:f>
              <c:strCache>
                <c:ptCount val="4"/>
                <c:pt idx="0">
                  <c:v>West</c:v>
                </c:pt>
                <c:pt idx="1">
                  <c:v>North</c:v>
                </c:pt>
                <c:pt idx="2">
                  <c:v>East</c:v>
                </c:pt>
                <c:pt idx="3">
                  <c:v>South</c:v>
                </c:pt>
              </c:strCache>
            </c:strRef>
          </c:cat>
          <c:val>
            <c:numRef>
              <c:f>Calculations!$E$2:$E$5</c:f>
              <c:numCache>
                <c:formatCode>General</c:formatCode>
                <c:ptCount val="4"/>
                <c:pt idx="0">
                  <c:v>12795</c:v>
                </c:pt>
                <c:pt idx="1">
                  <c:v>12045</c:v>
                </c:pt>
                <c:pt idx="2">
                  <c:v>10705</c:v>
                </c:pt>
                <c:pt idx="3">
                  <c:v>9740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4-4BA9-9D96-4E880FEE981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1875871"/>
        <c:axId val="1019712175"/>
      </c:barChart>
      <c:catAx>
        <c:axId val="114187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712175"/>
        <c:crosses val="autoZero"/>
        <c:auto val="1"/>
        <c:lblAlgn val="ctr"/>
        <c:lblOffset val="100"/>
        <c:noMultiLvlLbl val="0"/>
      </c:catAx>
      <c:valAx>
        <c:axId val="10197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875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Calculations!$K$1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Calculations!$J$2:$J$9</c:f>
              <c:strCache>
                <c:ptCount val="8"/>
                <c:pt idx="0">
                  <c:v>Laptop</c:v>
                </c:pt>
                <c:pt idx="1">
                  <c:v>Tablet</c:v>
                </c:pt>
                <c:pt idx="2">
                  <c:v>Monitor</c:v>
                </c:pt>
                <c:pt idx="3">
                  <c:v>Printer</c:v>
                </c:pt>
                <c:pt idx="4">
                  <c:v>Headphones</c:v>
                </c:pt>
                <c:pt idx="5">
                  <c:v>Webcam</c:v>
                </c:pt>
                <c:pt idx="6">
                  <c:v>Mouse</c:v>
                </c:pt>
                <c:pt idx="7">
                  <c:v>Keyboard</c:v>
                </c:pt>
              </c:strCache>
            </c:strRef>
          </c:cat>
          <c:val>
            <c:numRef>
              <c:f>Calculations!$K$2:$K$9</c:f>
              <c:numCache>
                <c:formatCode>General</c:formatCode>
                <c:ptCount val="8"/>
                <c:pt idx="0">
                  <c:v>15300</c:v>
                </c:pt>
                <c:pt idx="1">
                  <c:v>9450</c:v>
                </c:pt>
                <c:pt idx="2">
                  <c:v>6720</c:v>
                </c:pt>
                <c:pt idx="3">
                  <c:v>4480</c:v>
                </c:pt>
                <c:pt idx="4">
                  <c:v>3075</c:v>
                </c:pt>
                <c:pt idx="5">
                  <c:v>2340</c:v>
                </c:pt>
                <c:pt idx="6">
                  <c:v>2075</c:v>
                </c:pt>
                <c:pt idx="7">
                  <c:v>1845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C-4956-A7AF-C37360A9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5680351"/>
        <c:axId val="1144773487"/>
      </c:barChart>
      <c:catAx>
        <c:axId val="1245680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73487"/>
        <c:crosses val="autoZero"/>
        <c:auto val="1"/>
        <c:lblAlgn val="ctr"/>
        <c:lblOffset val="100"/>
        <c:noMultiLvlLbl val="0"/>
      </c:catAx>
      <c:valAx>
        <c:axId val="114477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68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Calculations!$N$1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BEA-4EED-B12F-93096BCCB3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BEA-4EED-B12F-93096BCCB3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BEA-4EED-B12F-93096BCCB3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BEA-4EED-B12F-93096BCCB3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BEA-4EED-B12F-93096BCCB33F}"/>
              </c:ext>
            </c:extLst>
          </c:dPt>
          <c:cat>
            <c:strRef>
              <c:f>Calculations!$M$2:$M$6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Calculations!$N$2:$N$6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BEA-4EED-B12F-93096BCCB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Calculations!$H$1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Calculations!$G$2:$G$9</c:f>
              <c:strCache>
                <c:ptCount val="8"/>
                <c:pt idx="0">
                  <c:v>Oshada</c:v>
                </c:pt>
                <c:pt idx="1">
                  <c:v>Dilusha</c:v>
                </c:pt>
                <c:pt idx="2">
                  <c:v>Devid</c:v>
                </c:pt>
                <c:pt idx="3">
                  <c:v>Sarath</c:v>
                </c:pt>
                <c:pt idx="4">
                  <c:v>Enul</c:v>
                </c:pt>
                <c:pt idx="5">
                  <c:v>Minol</c:v>
                </c:pt>
                <c:pt idx="6">
                  <c:v>Dasun</c:v>
                </c:pt>
                <c:pt idx="7">
                  <c:v>Senuri</c:v>
                </c:pt>
              </c:strCache>
            </c:strRef>
          </c:cat>
          <c:val>
            <c:numRef>
              <c:f>Calculations!$H$2:$H$9</c:f>
              <c:numCache>
                <c:formatCode>General</c:formatCode>
                <c:ptCount val="8"/>
                <c:pt idx="0">
                  <c:v>7665</c:v>
                </c:pt>
                <c:pt idx="1">
                  <c:v>7595</c:v>
                </c:pt>
                <c:pt idx="2">
                  <c:v>6235</c:v>
                </c:pt>
                <c:pt idx="3">
                  <c:v>5620</c:v>
                </c:pt>
                <c:pt idx="4">
                  <c:v>5130</c:v>
                </c:pt>
                <c:pt idx="5">
                  <c:v>4470</c:v>
                </c:pt>
                <c:pt idx="6">
                  <c:v>4450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7C-44E6-9C06-A65D970AC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117199"/>
        <c:axId val="1144782607"/>
      </c:barChart>
      <c:catAx>
        <c:axId val="114811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82607"/>
        <c:crosses val="autoZero"/>
        <c:auto val="1"/>
        <c:lblAlgn val="ctr"/>
        <c:lblOffset val="100"/>
        <c:noMultiLvlLbl val="0"/>
      </c:catAx>
      <c:valAx>
        <c:axId val="114478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117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Analysis!$B$5:$B$8</c:f>
              <c:numCache>
                <c:formatCode>General</c:formatCode>
                <c:ptCount val="4"/>
                <c:pt idx="0">
                  <c:v>12795</c:v>
                </c:pt>
                <c:pt idx="1">
                  <c:v>12045</c:v>
                </c:pt>
                <c:pt idx="2">
                  <c:v>10705</c:v>
                </c:pt>
                <c:pt idx="3">
                  <c:v>9740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8-4934-BF01-C5EB0208F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497520"/>
        <c:axId val="2021543760"/>
      </c:barChart>
      <c:catAx>
        <c:axId val="20184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43760"/>
        <c:crosses val="autoZero"/>
        <c:auto val="1"/>
        <c:lblAlgn val="ctr"/>
        <c:lblOffset val="100"/>
        <c:noMultiLvlLbl val="0"/>
      </c:catAx>
      <c:valAx>
        <c:axId val="20215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4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Analysis!$B$11</c:f>
              <c:strCache>
                <c:ptCount val="1"/>
                <c:pt idx="0">
                  <c:v>Total 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Analysis!$A$12:$A$19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Analysis!$B$12:$B$19</c:f>
              <c:numCache>
                <c:formatCode>General</c:formatCode>
                <c:ptCount val="8"/>
                <c:pt idx="0">
                  <c:v>15300</c:v>
                </c:pt>
                <c:pt idx="1">
                  <c:v>9450</c:v>
                </c:pt>
                <c:pt idx="2">
                  <c:v>6720</c:v>
                </c:pt>
                <c:pt idx="3">
                  <c:v>4480</c:v>
                </c:pt>
                <c:pt idx="4">
                  <c:v>3075</c:v>
                </c:pt>
                <c:pt idx="5">
                  <c:v>2340</c:v>
                </c:pt>
                <c:pt idx="6">
                  <c:v>2075</c:v>
                </c:pt>
                <c:pt idx="7">
                  <c:v>1845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0-4589-B047-469FE5233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174496"/>
        <c:axId val="2021563920"/>
      </c:barChart>
      <c:catAx>
        <c:axId val="5017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63920"/>
        <c:crosses val="autoZero"/>
        <c:auto val="1"/>
        <c:lblAlgn val="ctr"/>
        <c:lblOffset val="100"/>
        <c:noMultiLvlLbl val="0"/>
      </c:catAx>
      <c:valAx>
        <c:axId val="20215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7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Analysis!$G$5:$G$8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Analysis!$H$5:$H$8</c:f>
              <c:numCache>
                <c:formatCode>General</c:formatCode>
                <c:ptCount val="4"/>
                <c:pt idx="0">
                  <c:v>11400</c:v>
                </c:pt>
                <c:pt idx="1">
                  <c:v>11750</c:v>
                </c:pt>
                <c:pt idx="2">
                  <c:v>14425</c:v>
                </c:pt>
                <c:pt idx="3">
                  <c:v>7710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0-4778-936E-31DF62EB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551200"/>
        <c:axId val="42252176"/>
      </c:lineChart>
      <c:catAx>
        <c:axId val="201955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52176"/>
        <c:crosses val="autoZero"/>
        <c:auto val="1"/>
        <c:lblAlgn val="ctr"/>
        <c:lblOffset val="100"/>
        <c:noMultiLvlLbl val="0"/>
      </c:catAx>
      <c:valAx>
        <c:axId val="4225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55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Analysis!$E$4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13-40A8-AF93-3F8980E028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13-40A8-AF93-3F8980E028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13-40A8-AF93-3F8980E028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13-40A8-AF93-3F8980E028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13-40A8-AF93-3F8980E028CE}"/>
              </c:ext>
            </c:extLst>
          </c:dPt>
          <c:cat>
            <c:strRef>
              <c:f>Analysis!$D$5:$D$9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Analysis!$E$5:$E$9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F1E-84C7-8D910FE7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Analysis!$D$13:$D$20</c:f>
              <c:strCache>
                <c:ptCount val="8"/>
                <c:pt idx="0">
                  <c:v>Dilusha</c:v>
                </c:pt>
                <c:pt idx="1">
                  <c:v>Sarath</c:v>
                </c:pt>
                <c:pt idx="2">
                  <c:v>Minol</c:v>
                </c:pt>
                <c:pt idx="3">
                  <c:v>Enul</c:v>
                </c:pt>
                <c:pt idx="4">
                  <c:v>Dasun</c:v>
                </c:pt>
                <c:pt idx="5">
                  <c:v>Senuri</c:v>
                </c:pt>
                <c:pt idx="6">
                  <c:v>Devid</c:v>
                </c:pt>
                <c:pt idx="7">
                  <c:v>Oshada</c:v>
                </c:pt>
              </c:strCache>
            </c:strRef>
          </c:cat>
          <c:val>
            <c:numRef>
              <c:f>Analysis!$E$13:$E$20</c:f>
              <c:numCache>
                <c:formatCode>General</c:formatCode>
                <c:ptCount val="8"/>
                <c:pt idx="0">
                  <c:v>7665</c:v>
                </c:pt>
                <c:pt idx="1">
                  <c:v>7595</c:v>
                </c:pt>
                <c:pt idx="2">
                  <c:v>6235</c:v>
                </c:pt>
                <c:pt idx="3">
                  <c:v>5620</c:v>
                </c:pt>
                <c:pt idx="4">
                  <c:v>5130</c:v>
                </c:pt>
                <c:pt idx="5">
                  <c:v>4470</c:v>
                </c:pt>
                <c:pt idx="6">
                  <c:v>4450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7C-4825-97BB-BB002FF2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52432"/>
        <c:axId val="42236336"/>
      </c:barChart>
      <c:catAx>
        <c:axId val="3515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36336"/>
        <c:crosses val="autoZero"/>
        <c:auto val="1"/>
        <c:lblAlgn val="ctr"/>
        <c:lblOffset val="100"/>
        <c:noMultiLvlLbl val="0"/>
      </c:catAx>
      <c:valAx>
        <c:axId val="422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[Sales_Performance_Analysis.xlsx]Pivot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Analysis'!$A$2:$A$6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Analysis'!$B$2:$B$6</c:f>
              <c:numCache>
                <c:formatCode>[$LKR]\ #,##0.00;[Red][$LKR]\ #,##0.00</c:formatCode>
                <c:ptCount val="4"/>
                <c:pt idx="0">
                  <c:v>10705</c:v>
                </c:pt>
                <c:pt idx="1">
                  <c:v>12045</c:v>
                </c:pt>
                <c:pt idx="2">
                  <c:v>9740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C-4A88-A286-CCCC22064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3309503"/>
        <c:axId val="1144761967"/>
      </c:barChart>
      <c:catAx>
        <c:axId val="10233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61967"/>
        <c:crosses val="autoZero"/>
        <c:auto val="1"/>
        <c:lblAlgn val="ctr"/>
        <c:lblOffset val="100"/>
        <c:noMultiLvlLbl val="0"/>
      </c:catAx>
      <c:valAx>
        <c:axId val="114476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LKR]\ #,##0.00;[Red][$LKR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30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[Sales_Performance_Analysis.xlsx]Pivot 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Analysis'!$E$1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Analysis'!$D$2:$D$10</c:f>
              <c:strCache>
                <c:ptCount val="8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Monitor</c:v>
                </c:pt>
                <c:pt idx="4">
                  <c:v>Mouse</c:v>
                </c:pt>
                <c:pt idx="5">
                  <c:v>Printer</c:v>
                </c:pt>
                <c:pt idx="6">
                  <c:v>Tablet</c:v>
                </c:pt>
                <c:pt idx="7">
                  <c:v>Webcam</c:v>
                </c:pt>
              </c:strCache>
            </c:strRef>
          </c:cat>
          <c:val>
            <c:numRef>
              <c:f>'Pivot Analysis'!$E$2:$E$10</c:f>
              <c:numCache>
                <c:formatCode>[$LKR]\ #,##0.00;[Red][$LKR]\ #,##0.00</c:formatCode>
                <c:ptCount val="8"/>
                <c:pt idx="0">
                  <c:v>3075</c:v>
                </c:pt>
                <c:pt idx="1">
                  <c:v>1845</c:v>
                </c:pt>
                <c:pt idx="2">
                  <c:v>15300</c:v>
                </c:pt>
                <c:pt idx="3">
                  <c:v>6720</c:v>
                </c:pt>
                <c:pt idx="4">
                  <c:v>2075</c:v>
                </c:pt>
                <c:pt idx="5">
                  <c:v>4480</c:v>
                </c:pt>
                <c:pt idx="6">
                  <c:v>9450</c:v>
                </c:pt>
                <c:pt idx="7">
                  <c:v>2340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01-4FB0-834F-C40BC4D50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41848959"/>
        <c:axId val="1144808527"/>
      </c:barChart>
      <c:catAx>
        <c:axId val="11418489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808527"/>
        <c:crosses val="autoZero"/>
        <c:auto val="1"/>
        <c:lblAlgn val="ctr"/>
        <c:lblOffset val="100"/>
        <c:noMultiLvlLbl val="0"/>
      </c:catAx>
      <c:valAx>
        <c:axId val="114480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LKR]\ #,##0.00;[Red][$LKR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84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[Sales_Performance_Analysis.xlsx]Pivot Analysis!PivotTable3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Analysis'!$H$1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'Pivot Analysis'!$G$2:$G$7</c:f>
              <c:strCache>
                <c:ptCount val="5"/>
                <c:pt idx="0">
                  <c:v>Accessories</c:v>
                </c:pt>
                <c:pt idx="1">
                  <c:v>Audio</c:v>
                </c:pt>
                <c:pt idx="2">
                  <c:v>Computers</c:v>
                </c:pt>
                <c:pt idx="3">
                  <c:v>Mobile</c:v>
                </c:pt>
                <c:pt idx="4">
                  <c:v>Office</c:v>
                </c:pt>
              </c:strCache>
            </c:strRef>
          </c:cat>
          <c:val>
            <c:numRef>
              <c:f>'Pivot Analysis'!$H$2:$H$7</c:f>
              <c:numCache>
                <c:formatCode>[$LKR]\ #,##0.00;[Red][$LKR]\ #,##0.00</c:formatCode>
                <c:ptCount val="5"/>
                <c:pt idx="0">
                  <c:v>6260</c:v>
                </c:pt>
                <c:pt idx="1">
                  <c:v>3075</c:v>
                </c:pt>
                <c:pt idx="2">
                  <c:v>22020</c:v>
                </c:pt>
                <c:pt idx="3">
                  <c:v>9450</c:v>
                </c:pt>
                <c:pt idx="4">
                  <c:v>4480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07-4D95-A740-C540B392E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[Sales_Performance_Analysis.xlsx]Pivot Analysis!PivotTable4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Analysis'!$K$1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Analysis'!$J$2:$J$10</c:f>
              <c:strCache>
                <c:ptCount val="8"/>
                <c:pt idx="0">
                  <c:v>Dasun</c:v>
                </c:pt>
                <c:pt idx="1">
                  <c:v>Devid</c:v>
                </c:pt>
                <c:pt idx="2">
                  <c:v>Dilusha</c:v>
                </c:pt>
                <c:pt idx="3">
                  <c:v>Enul</c:v>
                </c:pt>
                <c:pt idx="4">
                  <c:v>Minol</c:v>
                </c:pt>
                <c:pt idx="5">
                  <c:v>Oshada</c:v>
                </c:pt>
                <c:pt idx="6">
                  <c:v>Sarath</c:v>
                </c:pt>
                <c:pt idx="7">
                  <c:v>Senuri</c:v>
                </c:pt>
              </c:strCache>
            </c:strRef>
          </c:cat>
          <c:val>
            <c:numRef>
              <c:f>'Pivot Analysis'!$K$2:$K$10</c:f>
              <c:numCache>
                <c:formatCode>[$LKR]\ #,##0.00;[Red][$LKR]\ #,##0.00</c:formatCode>
                <c:ptCount val="8"/>
                <c:pt idx="0">
                  <c:v>4450</c:v>
                </c:pt>
                <c:pt idx="1">
                  <c:v>6235</c:v>
                </c:pt>
                <c:pt idx="2">
                  <c:v>7595</c:v>
                </c:pt>
                <c:pt idx="3">
                  <c:v>5130</c:v>
                </c:pt>
                <c:pt idx="4">
                  <c:v>4470</c:v>
                </c:pt>
                <c:pt idx="5">
                  <c:v>7665</c:v>
                </c:pt>
                <c:pt idx="6">
                  <c:v>5620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1-4AB2-BFC4-5754F7A46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098639"/>
        <c:axId val="1144768687"/>
      </c:barChart>
      <c:catAx>
        <c:axId val="114809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68687"/>
        <c:crosses val="autoZero"/>
        <c:auto val="1"/>
        <c:lblAlgn val="ctr"/>
        <c:lblOffset val="100"/>
        <c:noMultiLvlLbl val="0"/>
      </c:catAx>
      <c:valAx>
        <c:axId val="114476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LKR]\ #,##0.00;[Red][$LKR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09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[Sales_Performance_Analysis.xlsx]Pivot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Analysis'!$N$1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'Pivot Analysis'!$M$2:$M$7</c:f>
              <c:multiLvlStrCache>
                <c:ptCount val="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'Pivot Analysis'!$N$2:$N$7</c:f>
              <c:numCache>
                <c:formatCode>[$LKR]\ #,##0.00;[Red][$LKR]\ #,##0.00</c:formatCode>
                <c:ptCount val="4"/>
                <c:pt idx="0">
                  <c:v>11400</c:v>
                </c:pt>
                <c:pt idx="1">
                  <c:v>11750</c:v>
                </c:pt>
                <c:pt idx="2">
                  <c:v>14425</c:v>
                </c:pt>
                <c:pt idx="3">
                  <c:v>7710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C3-4572-BB59-D88C2CCA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6176527"/>
        <c:axId val="1144746127"/>
      </c:lineChart>
      <c:catAx>
        <c:axId val="1256176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46127"/>
        <c:crosses val="autoZero"/>
        <c:auto val="1"/>
        <c:lblAlgn val="ctr"/>
        <c:lblOffset val="100"/>
        <c:noMultiLvlLbl val="0"/>
      </c:catAx>
      <c:valAx>
        <c:axId val="114474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LKR]\ #,##0.00;[Red][$LKR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17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180109</xdr:colOff>
      <xdr:row>9</xdr:row>
      <xdr:rowOff>76062</xdr:rowOff>
    </xdr:from>
    <xdr:to>
      <xdr:col>14</xdr:col>
      <xdr:colOff>429491</xdr:colOff>
      <xdr:row>25</xdr:row>
      <xdr:rowOff>69269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83F9EF-CE59-486E-B335-DAD62B314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193964</xdr:colOff>
      <xdr:row>26</xdr:row>
      <xdr:rowOff>19051</xdr:rowOff>
    </xdr:from>
    <xdr:to>
      <xdr:col>7</xdr:col>
      <xdr:colOff>498764</xdr:colOff>
      <xdr:row>40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BC6281-B0C3-489C-80A7-FA3FA1194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207818</xdr:colOff>
      <xdr:row>41</xdr:row>
      <xdr:rowOff>83127</xdr:rowOff>
    </xdr:from>
    <xdr:to>
      <xdr:col>7</xdr:col>
      <xdr:colOff>484909</xdr:colOff>
      <xdr:row>55</xdr:row>
      <xdr:rowOff>22860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1015737-876D-4912-BECF-3B1EC9C6F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55418</xdr:colOff>
      <xdr:row>26</xdr:row>
      <xdr:rowOff>19050</xdr:rowOff>
    </xdr:from>
    <xdr:to>
      <xdr:col>14</xdr:col>
      <xdr:colOff>429491</xdr:colOff>
      <xdr:row>40</xdr:row>
      <xdr:rowOff>83128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C657C0-BEF9-40BC-97F1-31657FAFC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69274</xdr:colOff>
      <xdr:row>41</xdr:row>
      <xdr:rowOff>69272</xdr:rowOff>
    </xdr:from>
    <xdr:to>
      <xdr:col>14</xdr:col>
      <xdr:colOff>443346</xdr:colOff>
      <xdr:row>55</xdr:row>
      <xdr:rowOff>13854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2F7F83-FA4B-46D2-BEBE-FF05DD33F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1503</xdr:colOff>
      <xdr:row>2</xdr:row>
      <xdr:rowOff>2919</xdr:rowOff>
    </xdr:from>
    <xdr:to>
      <xdr:col>17</xdr:col>
      <xdr:colOff>316464</xdr:colOff>
      <xdr:row>17</xdr:row>
      <xdr:rowOff>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24B5-F3A9-72DF-37F6-92C7AE0B4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-1</xdr:colOff>
      <xdr:row>18</xdr:row>
      <xdr:rowOff>174811</xdr:rowOff>
    </xdr:from>
    <xdr:to>
      <xdr:col>17</xdr:col>
      <xdr:colOff>283882</xdr:colOff>
      <xdr:row>34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C936C0-8A22-A883-2019-7D47133A8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14940</xdr:colOff>
      <xdr:row>35</xdr:row>
      <xdr:rowOff>174810</xdr:rowOff>
    </xdr:from>
    <xdr:to>
      <xdr:col>17</xdr:col>
      <xdr:colOff>298823</xdr:colOff>
      <xdr:row>51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A3666-066E-7572-4127-8F423BD41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612587</xdr:colOff>
      <xdr:row>2</xdr:row>
      <xdr:rowOff>8610</xdr:rowOff>
    </xdr:from>
    <xdr:to>
      <xdr:col>26</xdr:col>
      <xdr:colOff>329045</xdr:colOff>
      <xdr:row>16</xdr:row>
      <xdr:rowOff>92430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31182A-1098-F984-B7EC-17D67F961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770</xdr:colOff>
      <xdr:row>19</xdr:row>
      <xdr:rowOff>4167</xdr:rowOff>
    </xdr:from>
    <xdr:to>
      <xdr:col>26</xdr:col>
      <xdr:colOff>286836</xdr:colOff>
      <xdr:row>33</xdr:row>
      <xdr:rowOff>171844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1519A-B75F-8C31-2FDD-557337516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235528</xdr:colOff>
      <xdr:row>12</xdr:row>
      <xdr:rowOff>147552</xdr:rowOff>
    </xdr:from>
    <xdr:to>
      <xdr:col>7</xdr:col>
      <xdr:colOff>29788</xdr:colOff>
      <xdr:row>27</xdr:row>
      <xdr:rowOff>147552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AFBC8B-F726-D6BA-EDB8-408665D8D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246610</xdr:colOff>
      <xdr:row>29</xdr:row>
      <xdr:rowOff>5195</xdr:rowOff>
    </xdr:from>
    <xdr:to>
      <xdr:col>7</xdr:col>
      <xdr:colOff>134388</xdr:colOff>
      <xdr:row>44</xdr:row>
      <xdr:rowOff>5196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1F0120-D66E-EE52-DBF6-512938E14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768928</xdr:colOff>
      <xdr:row>10</xdr:row>
      <xdr:rowOff>110837</xdr:rowOff>
    </xdr:from>
    <xdr:to>
      <xdr:col>9</xdr:col>
      <xdr:colOff>962892</xdr:colOff>
      <xdr:row>25</xdr:row>
      <xdr:rowOff>152401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5B8D4F-F2B4-387F-BDEB-C142BF5E2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256309</xdr:colOff>
      <xdr:row>29</xdr:row>
      <xdr:rowOff>-1</xdr:rowOff>
    </xdr:from>
    <xdr:to>
      <xdr:col>10</xdr:col>
      <xdr:colOff>422563</xdr:colOff>
      <xdr:row>44</xdr:row>
      <xdr:rowOff>41563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1F339A-FA1B-B543-E5E6-C148AFF1A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76200</xdr:colOff>
      <xdr:row>49</xdr:row>
      <xdr:rowOff>123713</xdr:rowOff>
    </xdr:from>
    <xdr:to>
      <xdr:col>9</xdr:col>
      <xdr:colOff>730623</xdr:colOff>
      <xdr:row>64</xdr:row>
      <xdr:rowOff>177501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BBAC43-0190-EC2D-1ABB-4B6B3B7F4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35.06403425926" createdVersion="8" refreshedVersion="8" minRefreshableVersion="3" recordCount="50" xr:uid="{6EE0529A-BCF3-4CF6-94D4-828E628F6832}">
  <cacheSource type="worksheet">
    <worksheetSource name="SalesTable"/>
  </cacheSource>
  <cacheFields count="13">
    <cacheField name="Order ID" numFmtId="0">
      <sharedItems/>
    </cacheField>
    <cacheField name="Date" numFmtId="14">
      <sharedItems containsSemiMixedTypes="0" containsNonDate="0" containsDate="1" containsString="0" minDate="2026-01-01T00:00:00" maxDate="2026-04-26T00:00:00" count="50">
        <d v="2026-01-01T00:00:00"/>
        <d v="2026-01-02T00:00:00"/>
        <d v="2026-01-03T00:00:00"/>
        <d v="2026-01-05T00:00:00"/>
        <d v="2026-01-06T00:00:00"/>
        <d v="2026-01-08T00:00:00"/>
        <d v="2026-01-10T00:00:00"/>
        <d v="2026-01-12T00:00:00"/>
        <d v="2026-01-15T00:00:00"/>
        <d v="2026-01-18T00:00:00"/>
        <d v="2026-01-20T00:00:00"/>
        <d v="2026-01-22T00:00:00"/>
        <d v="2026-01-25T00:00:00"/>
        <d v="2026-01-28T00:00:00"/>
        <d v="2026-01-30T00:00:00"/>
        <d v="2026-02-02T00:00:00"/>
        <d v="2026-02-04T00:00:00"/>
        <d v="2026-02-06T00:00:00"/>
        <d v="2026-02-08T00:00:00"/>
        <d v="2026-02-10T00:00:00"/>
        <d v="2026-02-12T00:00:00"/>
        <d v="2026-02-14T00:00:00"/>
        <d v="2026-02-16T00:00:00"/>
        <d v="2026-02-18T00:00:00"/>
        <d v="2026-02-20T00:00:00"/>
        <d v="2026-02-22T00:00:00"/>
        <d v="2026-02-24T00:00:00"/>
        <d v="2026-02-26T00:00:00"/>
        <d v="2026-02-28T00:00:00"/>
        <d v="2026-03-02T00:00:00"/>
        <d v="2026-03-04T00:00:00"/>
        <d v="2026-03-06T00:00:00"/>
        <d v="2026-03-08T00:00:00"/>
        <d v="2026-03-10T00:00:00"/>
        <d v="2026-03-12T00:00:00"/>
        <d v="2026-03-14T00:00:00"/>
        <d v="2026-03-16T00:00:00"/>
        <d v="2026-03-18T00:00:00"/>
        <d v="2026-03-20T00:00:00"/>
        <d v="2026-03-22T00:00:00"/>
        <d v="2026-03-24T00:00:00"/>
        <d v="2026-03-26T00:00:00"/>
        <d v="2026-03-28T00:00:00"/>
        <d v="2026-03-30T00:00:00"/>
        <d v="2026-04-01T00:00:00"/>
        <d v="2026-04-05T00:00:00"/>
        <d v="2026-04-10T00:00:00"/>
        <d v="2026-04-15T00:00:00"/>
        <d v="2026-04-20T00:00:00"/>
        <d v="2026-04-25T00:00:00"/>
      </sharedItems>
      <fieldGroup par="12"/>
    </cacheField>
    <cacheField name="Customer" numFmtId="0">
      <sharedItems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 count="8">
        <s v="Dilusha"/>
        <s v="Sarath"/>
        <s v="Minol"/>
        <s v="Enul"/>
        <s v="Dasun"/>
        <s v="Senuri"/>
        <s v="Devid"/>
        <s v="Oshada"/>
      </sharedItems>
    </cacheField>
    <cacheField name="Product" numFmtId="0">
      <sharedItems count="8">
        <s v="Laptop"/>
        <s v="Monitor"/>
        <s v="Keyboard"/>
        <s v="Mouse"/>
        <s v="Headphones"/>
        <s v="Printer"/>
        <s v="Webcam"/>
        <s v="Tablet"/>
      </sharedItems>
    </cacheField>
    <cacheField name="Category" numFmtId="0">
      <sharedItems count="5">
        <s v="Computers"/>
        <s v="Accessories"/>
        <s v="Audio"/>
        <s v="Office"/>
        <s v="Mobile"/>
      </sharedItems>
    </cacheField>
    <cacheField name="Quantity" numFmtId="1">
      <sharedItems containsSemiMixedTypes="0" containsString="0" containsNumber="1" containsInteger="1" minValue="1" maxValue="20"/>
    </cacheField>
    <cacheField name="Unit Price" numFmtId="164">
      <sharedItems containsSemiMixedTypes="0" containsString="0" containsNumber="1" containsInteger="1" minValue="25" maxValue="850"/>
    </cacheField>
    <cacheField name="Total Sales" numFmtId="164">
      <sharedItems containsSemiMixedTypes="0" containsString="0" containsNumber="1" containsInteger="1" minValue="200" maxValue="2550"/>
    </cacheField>
    <cacheField name="Payment Method" numFmtId="0">
      <sharedItems containsNonDate="0" containsString="0" containsBlank="1"/>
    </cacheField>
    <cacheField name="Months (Date)" numFmtId="0" databaseField="0">
      <fieldGroup base="1">
        <rangePr groupBy="months" startDate="2026-01-01T00:00:00" endDate="2026-04-26T00:00:00"/>
        <groupItems count="14">
          <s v="&lt;1/1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26/2026"/>
        </groupItems>
      </fieldGroup>
    </cacheField>
    <cacheField name="Years (Date)" numFmtId="0" databaseField="0">
      <fieldGroup base="1">
        <rangePr groupBy="years" startDate="2026-01-01T00:00:00" endDate="2026-04-26T00:00:00"/>
        <groupItems count="3">
          <s v="&lt;1/1/2026"/>
          <s v="2026"/>
          <s v="&gt;4/2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ORD001"/>
    <x v="0"/>
    <s v="ABC Technologies"/>
    <x v="0"/>
    <x v="0"/>
    <x v="0"/>
    <x v="0"/>
    <n v="2"/>
    <n v="850"/>
    <n v="1700"/>
    <m/>
  </r>
  <r>
    <s v="ORD002"/>
    <x v="1"/>
    <s v="Global Solutions"/>
    <x v="1"/>
    <x v="1"/>
    <x v="1"/>
    <x v="0"/>
    <n v="3"/>
    <n v="320"/>
    <n v="960"/>
    <m/>
  </r>
  <r>
    <s v="ORD003"/>
    <x v="2"/>
    <s v="Smart Education"/>
    <x v="2"/>
    <x v="2"/>
    <x v="2"/>
    <x v="1"/>
    <n v="5"/>
    <n v="45"/>
    <n v="225"/>
    <m/>
  </r>
  <r>
    <s v="ORD004"/>
    <x v="3"/>
    <s v="Prime Holdings"/>
    <x v="3"/>
    <x v="3"/>
    <x v="3"/>
    <x v="1"/>
    <n v="8"/>
    <n v="25"/>
    <n v="200"/>
    <m/>
  </r>
  <r>
    <s v="ORD005"/>
    <x v="4"/>
    <s v="Lanka Enterprises"/>
    <x v="0"/>
    <x v="4"/>
    <x v="4"/>
    <x v="2"/>
    <n v="4"/>
    <n v="75"/>
    <n v="300"/>
    <m/>
  </r>
  <r>
    <s v="ORD006"/>
    <x v="5"/>
    <s v="TechWorld"/>
    <x v="1"/>
    <x v="5"/>
    <x v="5"/>
    <x v="3"/>
    <n v="2"/>
    <n v="280"/>
    <n v="560"/>
    <m/>
  </r>
  <r>
    <s v="ORD007"/>
    <x v="6"/>
    <s v="Future Systems"/>
    <x v="2"/>
    <x v="6"/>
    <x v="6"/>
    <x v="1"/>
    <n v="6"/>
    <n v="65"/>
    <n v="390"/>
    <m/>
  </r>
  <r>
    <s v="ORD008"/>
    <x v="7"/>
    <s v="Digital Lanka"/>
    <x v="3"/>
    <x v="7"/>
    <x v="7"/>
    <x v="4"/>
    <n v="3"/>
    <n v="450"/>
    <n v="1350"/>
    <m/>
  </r>
  <r>
    <s v="ORD009"/>
    <x v="8"/>
    <s v="ABC Technologies"/>
    <x v="0"/>
    <x v="0"/>
    <x v="1"/>
    <x v="0"/>
    <n v="4"/>
    <n v="320"/>
    <n v="1280"/>
    <m/>
  </r>
  <r>
    <s v="ORD010"/>
    <x v="9"/>
    <s v="Global Solutions"/>
    <x v="1"/>
    <x v="1"/>
    <x v="0"/>
    <x v="0"/>
    <n v="1"/>
    <n v="850"/>
    <n v="850"/>
    <m/>
  </r>
  <r>
    <s v="ORD011"/>
    <x v="10"/>
    <s v="Smart Education"/>
    <x v="2"/>
    <x v="2"/>
    <x v="3"/>
    <x v="1"/>
    <n v="10"/>
    <n v="25"/>
    <n v="250"/>
    <m/>
  </r>
  <r>
    <s v="ORD012"/>
    <x v="11"/>
    <s v="Prime Holdings"/>
    <x v="3"/>
    <x v="3"/>
    <x v="2"/>
    <x v="1"/>
    <n v="6"/>
    <n v="45"/>
    <n v="270"/>
    <m/>
  </r>
  <r>
    <s v="ORD013"/>
    <x v="12"/>
    <s v="Lanka Enterprises"/>
    <x v="0"/>
    <x v="4"/>
    <x v="5"/>
    <x v="3"/>
    <n v="3"/>
    <n v="280"/>
    <n v="840"/>
    <m/>
  </r>
  <r>
    <s v="ORD014"/>
    <x v="13"/>
    <s v="TechWorld"/>
    <x v="1"/>
    <x v="5"/>
    <x v="4"/>
    <x v="2"/>
    <n v="7"/>
    <n v="75"/>
    <n v="525"/>
    <m/>
  </r>
  <r>
    <s v="ORD015"/>
    <x v="14"/>
    <s v="Future Systems"/>
    <x v="2"/>
    <x v="6"/>
    <x v="0"/>
    <x v="0"/>
    <n v="2"/>
    <n v="850"/>
    <n v="1700"/>
    <m/>
  </r>
  <r>
    <s v="ORD016"/>
    <x v="15"/>
    <s v="Digital Lanka"/>
    <x v="3"/>
    <x v="7"/>
    <x v="6"/>
    <x v="1"/>
    <n v="5"/>
    <n v="65"/>
    <n v="325"/>
    <m/>
  </r>
  <r>
    <s v="ORD017"/>
    <x v="16"/>
    <s v="ABC Technologies"/>
    <x v="0"/>
    <x v="0"/>
    <x v="7"/>
    <x v="4"/>
    <n v="4"/>
    <n v="450"/>
    <n v="1800"/>
    <m/>
  </r>
  <r>
    <s v="ORD018"/>
    <x v="17"/>
    <s v="Global Solutions"/>
    <x v="1"/>
    <x v="1"/>
    <x v="3"/>
    <x v="1"/>
    <n v="12"/>
    <n v="25"/>
    <n v="300"/>
    <m/>
  </r>
  <r>
    <s v="ORD019"/>
    <x v="18"/>
    <s v="Smart Education"/>
    <x v="2"/>
    <x v="2"/>
    <x v="1"/>
    <x v="0"/>
    <n v="2"/>
    <n v="320"/>
    <n v="640"/>
    <m/>
  </r>
  <r>
    <s v="ORD020"/>
    <x v="19"/>
    <s v="Prime Holdings"/>
    <x v="3"/>
    <x v="3"/>
    <x v="0"/>
    <x v="0"/>
    <n v="3"/>
    <n v="850"/>
    <n v="2550"/>
    <m/>
  </r>
  <r>
    <s v="ORD021"/>
    <x v="20"/>
    <s v="Lanka Enterprises"/>
    <x v="0"/>
    <x v="4"/>
    <x v="2"/>
    <x v="1"/>
    <n v="8"/>
    <n v="45"/>
    <n v="360"/>
    <m/>
  </r>
  <r>
    <s v="ORD022"/>
    <x v="21"/>
    <s v="TechWorld"/>
    <x v="1"/>
    <x v="5"/>
    <x v="5"/>
    <x v="3"/>
    <n v="2"/>
    <n v="280"/>
    <n v="560"/>
    <m/>
  </r>
  <r>
    <s v="ORD023"/>
    <x v="22"/>
    <s v="Future Systems"/>
    <x v="2"/>
    <x v="6"/>
    <x v="4"/>
    <x v="2"/>
    <n v="5"/>
    <n v="75"/>
    <n v="375"/>
    <m/>
  </r>
  <r>
    <s v="ORD024"/>
    <x v="23"/>
    <s v="Digital Lanka"/>
    <x v="3"/>
    <x v="7"/>
    <x v="7"/>
    <x v="4"/>
    <n v="2"/>
    <n v="450"/>
    <n v="900"/>
    <m/>
  </r>
  <r>
    <s v="ORD025"/>
    <x v="24"/>
    <s v="ABC Technologies"/>
    <x v="0"/>
    <x v="0"/>
    <x v="6"/>
    <x v="1"/>
    <n v="7"/>
    <n v="65"/>
    <n v="455"/>
    <m/>
  </r>
  <r>
    <s v="ORD026"/>
    <x v="25"/>
    <s v="Global Solutions"/>
    <x v="1"/>
    <x v="1"/>
    <x v="0"/>
    <x v="0"/>
    <n v="2"/>
    <n v="850"/>
    <n v="1700"/>
    <m/>
  </r>
  <r>
    <s v="ORD027"/>
    <x v="26"/>
    <s v="Smart Education"/>
    <x v="2"/>
    <x v="2"/>
    <x v="3"/>
    <x v="1"/>
    <n v="15"/>
    <n v="25"/>
    <n v="375"/>
    <m/>
  </r>
  <r>
    <s v="ORD028"/>
    <x v="27"/>
    <s v="Prime Holdings"/>
    <x v="3"/>
    <x v="3"/>
    <x v="1"/>
    <x v="0"/>
    <n v="3"/>
    <n v="320"/>
    <n v="960"/>
    <m/>
  </r>
  <r>
    <s v="ORD029"/>
    <x v="28"/>
    <s v="Lanka Enterprises"/>
    <x v="0"/>
    <x v="4"/>
    <x v="4"/>
    <x v="2"/>
    <n v="6"/>
    <n v="75"/>
    <n v="450"/>
    <m/>
  </r>
  <r>
    <s v="ORD030"/>
    <x v="29"/>
    <s v="TechWorld"/>
    <x v="1"/>
    <x v="5"/>
    <x v="7"/>
    <x v="4"/>
    <n v="3"/>
    <n v="450"/>
    <n v="1350"/>
    <m/>
  </r>
  <r>
    <s v="ORD031"/>
    <x v="30"/>
    <s v="Future Systems"/>
    <x v="2"/>
    <x v="6"/>
    <x v="5"/>
    <x v="3"/>
    <n v="4"/>
    <n v="280"/>
    <n v="1120"/>
    <m/>
  </r>
  <r>
    <s v="ORD032"/>
    <x v="31"/>
    <s v="Digital Lanka"/>
    <x v="3"/>
    <x v="7"/>
    <x v="0"/>
    <x v="0"/>
    <n v="2"/>
    <n v="850"/>
    <n v="1700"/>
    <m/>
  </r>
  <r>
    <s v="ORD033"/>
    <x v="32"/>
    <s v="ABC Technologies"/>
    <x v="0"/>
    <x v="0"/>
    <x v="2"/>
    <x v="1"/>
    <n v="10"/>
    <n v="45"/>
    <n v="450"/>
    <m/>
  </r>
  <r>
    <s v="ORD034"/>
    <x v="33"/>
    <s v="Global Solutions"/>
    <x v="1"/>
    <x v="1"/>
    <x v="6"/>
    <x v="1"/>
    <n v="8"/>
    <n v="65"/>
    <n v="520"/>
    <m/>
  </r>
  <r>
    <s v="ORD035"/>
    <x v="34"/>
    <s v="Smart Education"/>
    <x v="2"/>
    <x v="2"/>
    <x v="1"/>
    <x v="0"/>
    <n v="4"/>
    <n v="320"/>
    <n v="1280"/>
    <m/>
  </r>
  <r>
    <s v="ORD036"/>
    <x v="35"/>
    <s v="Prime Holdings"/>
    <x v="3"/>
    <x v="3"/>
    <x v="3"/>
    <x v="1"/>
    <n v="20"/>
    <n v="25"/>
    <n v="500"/>
    <m/>
  </r>
  <r>
    <s v="ORD037"/>
    <x v="36"/>
    <s v="Lanka Enterprises"/>
    <x v="0"/>
    <x v="4"/>
    <x v="7"/>
    <x v="4"/>
    <n v="2"/>
    <n v="450"/>
    <n v="900"/>
    <m/>
  </r>
  <r>
    <s v="ORD038"/>
    <x v="37"/>
    <s v="TechWorld"/>
    <x v="1"/>
    <x v="5"/>
    <x v="4"/>
    <x v="2"/>
    <n v="9"/>
    <n v="75"/>
    <n v="675"/>
    <m/>
  </r>
  <r>
    <s v="ORD039"/>
    <x v="38"/>
    <s v="Future Systems"/>
    <x v="2"/>
    <x v="6"/>
    <x v="0"/>
    <x v="0"/>
    <n v="1"/>
    <n v="850"/>
    <n v="850"/>
    <m/>
  </r>
  <r>
    <s v="ORD040"/>
    <x v="39"/>
    <s v="Digital Lanka"/>
    <x v="3"/>
    <x v="7"/>
    <x v="5"/>
    <x v="3"/>
    <n v="3"/>
    <n v="280"/>
    <n v="840"/>
    <m/>
  </r>
  <r>
    <s v="ORD041"/>
    <x v="40"/>
    <s v="ABC Technologies"/>
    <x v="0"/>
    <x v="0"/>
    <x v="7"/>
    <x v="4"/>
    <n v="3"/>
    <n v="450"/>
    <n v="1350"/>
    <m/>
  </r>
  <r>
    <s v="ORD042"/>
    <x v="41"/>
    <s v="Global Solutions"/>
    <x v="1"/>
    <x v="1"/>
    <x v="2"/>
    <x v="1"/>
    <n v="12"/>
    <n v="45"/>
    <n v="540"/>
    <m/>
  </r>
  <r>
    <s v="ORD043"/>
    <x v="42"/>
    <s v="Smart Education"/>
    <x v="2"/>
    <x v="2"/>
    <x v="0"/>
    <x v="0"/>
    <n v="2"/>
    <n v="850"/>
    <n v="1700"/>
    <m/>
  </r>
  <r>
    <s v="ORD044"/>
    <x v="43"/>
    <s v="Prime Holdings"/>
    <x v="3"/>
    <x v="3"/>
    <x v="6"/>
    <x v="1"/>
    <n v="10"/>
    <n v="65"/>
    <n v="650"/>
    <m/>
  </r>
  <r>
    <s v="ORD045"/>
    <x v="44"/>
    <s v="Lanka Enterprises"/>
    <x v="0"/>
    <x v="4"/>
    <x v="1"/>
    <x v="0"/>
    <n v="5"/>
    <n v="320"/>
    <n v="1600"/>
    <m/>
  </r>
  <r>
    <s v="ORD046"/>
    <x v="45"/>
    <s v="TechWorld"/>
    <x v="1"/>
    <x v="5"/>
    <x v="3"/>
    <x v="1"/>
    <n v="18"/>
    <n v="25"/>
    <n v="450"/>
    <m/>
  </r>
  <r>
    <s v="ORD047"/>
    <x v="46"/>
    <s v="Future Systems"/>
    <x v="2"/>
    <x v="6"/>
    <x v="7"/>
    <x v="4"/>
    <n v="4"/>
    <n v="450"/>
    <n v="1800"/>
    <m/>
  </r>
  <r>
    <s v="ORD048"/>
    <x v="47"/>
    <s v="Digital Lanka"/>
    <x v="3"/>
    <x v="7"/>
    <x v="0"/>
    <x v="0"/>
    <n v="3"/>
    <n v="850"/>
    <n v="2550"/>
    <m/>
  </r>
  <r>
    <s v="ORD049"/>
    <x v="48"/>
    <s v="ABC Technologies"/>
    <x v="0"/>
    <x v="0"/>
    <x v="5"/>
    <x v="3"/>
    <n v="2"/>
    <n v="280"/>
    <n v="560"/>
    <m/>
  </r>
  <r>
    <s v="ORD050"/>
    <x v="49"/>
    <s v="Global Solutions"/>
    <x v="1"/>
    <x v="1"/>
    <x v="4"/>
    <x v="2"/>
    <n v="10"/>
    <n v="75"/>
    <n v="75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8868-975E-4318-A4E7-5D0F143EE71E}" name="PivotTable5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1:N7" firstHeaderRow="1" firstDataRow="1" firstDataCol="1"/>
  <pivotFields count="13">
    <pivotField showAll="0"/>
    <pivotField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64" showAll="0"/>
    <pivotField dataField="1" numFmtId="164"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2">
    <field x="12"/>
    <field x="11"/>
  </rowFields>
  <rowItems count="6">
    <i>
      <x v="1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 Sales" fld="9" baseField="0" baseItem="0" numFmtId="164"/>
  </dataFields>
  <formats count="1">
    <format dxfId="6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4AE060-14A7-4543-B072-81ADEF01D2F5}" name="PivotTable4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1:K10" firstHeaderRow="1" firstDataRow="1" firstDataCol="1"/>
  <pivotFields count="13">
    <pivotField showAll="0"/>
    <pivotField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axis="axisRow" showAll="0">
      <items count="9">
        <item x="4"/>
        <item x="6"/>
        <item x="0"/>
        <item x="3"/>
        <item x="2"/>
        <item x="7"/>
        <item x="1"/>
        <item x="5"/>
        <item t="default"/>
      </items>
    </pivotField>
    <pivotField showAll="0"/>
    <pivotField showAll="0"/>
    <pivotField numFmtId="1" showAll="0"/>
    <pivotField numFmtId="164" showAll="0"/>
    <pivotField dataField="1" numFmtId="164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TotalSales" fld="9" baseField="4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25C51-D603-4B2B-9B7F-A09F6AB2C103}" name="PivotTable3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G1:H7" firstHeaderRow="1" firstDataRow="1" firstDataCol="1"/>
  <pivotFields count="13">
    <pivotField showAll="0"/>
    <pivotField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showAll="0"/>
    <pivotField axis="axisRow" showAll="0">
      <items count="6">
        <item x="1"/>
        <item x="2"/>
        <item x="0"/>
        <item x="4"/>
        <item x="3"/>
        <item t="default"/>
      </items>
    </pivotField>
    <pivotField numFmtId="1" showAll="0"/>
    <pivotField numFmtId="164" showAll="0"/>
    <pivotField dataField="1" numFmtId="164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Sales" fld="9" baseField="6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70755F-C2BF-44FA-BFA8-3790F69B72B1}" name="PivotTable2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1:E10" firstHeaderRow="1" firstDataRow="1" firstDataCol="1"/>
  <pivotFields count="13">
    <pivotField showAll="0"/>
    <pivotField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axis="axisRow" showAll="0">
      <items count="9">
        <item x="4"/>
        <item x="2"/>
        <item x="0"/>
        <item x="1"/>
        <item x="3"/>
        <item x="5"/>
        <item x="7"/>
        <item x="6"/>
        <item t="default"/>
      </items>
    </pivotField>
    <pivotField showAll="0"/>
    <pivotField numFmtId="1" showAll="0"/>
    <pivotField numFmtId="164" showAll="0"/>
    <pivotField dataField="1" numFmtId="164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TotalSales" fld="9" baseField="5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1A60C-DFB2-495D-8E77-35692E194673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6" firstHeaderRow="1" firstDataRow="1" firstDataCol="1"/>
  <pivotFields count="13">
    <pivotField showAll="0"/>
    <pivotField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numFmtId="1" showAll="0"/>
    <pivotField numFmtId="164" showAll="0"/>
    <pivotField dataField="1" numFmtId="164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Sales" fld="9" baseField="3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29" dataDxfId="28" tableBorderDxfId="27">
  <autoFilter ref="A1:K51" xr:uid="{56EF8F25-73E6-4863-9BA8-DBE529445E76}"/>
  <tableColumns count="11">
    <tableColumn id="1" xr3:uid="{0FA6D7FC-4E67-4EA5-9546-6B6D0E9C6569}" name="Order ID" dataDxfId="26"/>
    <tableColumn id="2" xr3:uid="{49C83AEB-0A78-434C-A5AF-129CB44E291A}" name="Date" dataDxfId="25"/>
    <tableColumn id="3" xr3:uid="{77B6507D-4D2A-4056-8388-7FED18A23295}" name="Customer" dataDxfId="24"/>
    <tableColumn id="4" xr3:uid="{AFD53509-289A-4831-855B-2A02B6D82CEA}" name="Region" dataDxfId="23"/>
    <tableColumn id="5" xr3:uid="{76559D00-BEC6-4BD5-B7BA-2D231E10DCAF}" name="Salesperson" dataDxfId="22"/>
    <tableColumn id="6" xr3:uid="{AA75DE1C-08E9-4A97-8CDF-8F4A1532ED73}" name="Product" dataDxfId="21"/>
    <tableColumn id="7" xr3:uid="{7556264E-3B32-45DD-92F3-5F26126EFE14}" name="Category" dataDxfId="20"/>
    <tableColumn id="8" xr3:uid="{196A2CEA-D321-4539-B8DA-6BB0190659C9}" name="Quantity" dataDxfId="19"/>
    <tableColumn id="9" xr3:uid="{6639D84B-5F16-4FE4-87E1-AFE4A47433BE}" name="Unit Price" dataDxfId="18"/>
    <tableColumn id="10" xr3:uid="{23D6942E-98A1-4E2B-915C-4D410E731B59}" name="Total Sales" dataDxfId="17">
      <calculatedColumnFormula>SalesTable[[#This Row],[Quantity]]*SalesTable[[#This Row],[Unit Price]]</calculatedColumnFormula>
    </tableColumn>
    <tableColumn id="11" xr3:uid="{F68FB0F3-2D52-4A36-BD6B-029D6BB71D3C}" name="Payment Method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B2:O67"/>
  <sheetViews>
    <sheetView showGridLines="0" topLeftCell="A19" zoomScale="55" zoomScaleNormal="55" workbookViewId="0">
      <selection activeCell="S26" sqref="S26"/>
    </sheetView>
  </sheetViews>
  <sheetFormatPr defaultRowHeight="14.4" x14ac:dyDescent="0.3"/>
  <cols>
    <col min="2" max="15" width="12.77734375" customWidth="1"/>
  </cols>
  <sheetData>
    <row r="2" spans="2:15" ht="25.8" x14ac:dyDescent="0.5">
      <c r="B2" s="15" t="s">
        <v>118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2:15" ht="21" x14ac:dyDescent="0.4">
      <c r="B3" s="16" t="s">
        <v>120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2:15" ht="15.6" x14ac:dyDescent="0.3">
      <c r="B4" s="17" t="s">
        <v>119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2:15" x14ac:dyDescent="0.3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2:15" x14ac:dyDescent="0.3">
      <c r="B6" s="19" t="s">
        <v>121</v>
      </c>
      <c r="C6" s="19"/>
      <c r="D6" s="20"/>
      <c r="E6" s="21" t="s">
        <v>122</v>
      </c>
      <c r="F6" s="22"/>
      <c r="G6" s="18"/>
      <c r="H6" s="21" t="s">
        <v>123</v>
      </c>
      <c r="I6" s="22"/>
      <c r="J6" s="18"/>
      <c r="K6" s="23" t="s">
        <v>124</v>
      </c>
      <c r="L6" s="24"/>
      <c r="M6" s="18"/>
      <c r="N6" s="21" t="s">
        <v>125</v>
      </c>
      <c r="O6" s="22"/>
    </row>
    <row r="7" spans="2:15" x14ac:dyDescent="0.3">
      <c r="B7" s="25">
        <f>Calculations!B2</f>
        <v>45285</v>
      </c>
      <c r="C7" s="25"/>
      <c r="D7" s="26"/>
      <c r="E7" s="28">
        <f>Calculations!B4</f>
        <v>50</v>
      </c>
      <c r="F7" s="28"/>
      <c r="G7" s="18"/>
      <c r="H7" s="28">
        <f>Calculations!B3</f>
        <v>277</v>
      </c>
      <c r="I7" s="28"/>
      <c r="J7" s="18"/>
      <c r="K7" s="27">
        <f>Calculations!B5</f>
        <v>485.89600000000007</v>
      </c>
      <c r="L7" s="27"/>
      <c r="M7" s="18"/>
      <c r="N7" s="27">
        <f>Calculations!B6</f>
        <v>2550</v>
      </c>
      <c r="O7" s="27"/>
    </row>
    <row r="8" spans="2:15" x14ac:dyDescent="0.3">
      <c r="B8" s="25"/>
      <c r="C8" s="25"/>
      <c r="D8" s="18"/>
      <c r="E8" s="28"/>
      <c r="F8" s="28"/>
      <c r="G8" s="18"/>
      <c r="H8" s="28"/>
      <c r="I8" s="28"/>
      <c r="J8" s="18"/>
      <c r="K8" s="27"/>
      <c r="L8" s="27"/>
      <c r="M8" s="18"/>
      <c r="N8" s="27"/>
      <c r="O8" s="27"/>
    </row>
    <row r="9" spans="2:15" x14ac:dyDescent="0.3"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2:15" x14ac:dyDescent="0.3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2:15" x14ac:dyDescent="0.3"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2:15" x14ac:dyDescent="0.3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2:15" x14ac:dyDescent="0.3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2:15" x14ac:dyDescent="0.3"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2:15" x14ac:dyDescent="0.3"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2:15" x14ac:dyDescent="0.3"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2:15" x14ac:dyDescent="0.3"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2:15" x14ac:dyDescent="0.3"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2:15" x14ac:dyDescent="0.3"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2:15" x14ac:dyDescent="0.3"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15" x14ac:dyDescent="0.3"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2:15" x14ac:dyDescent="0.3"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2:15" x14ac:dyDescent="0.3"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2:15" x14ac:dyDescent="0.3"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2:15" x14ac:dyDescent="0.3"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2:15" x14ac:dyDescent="0.3"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2:15" x14ac:dyDescent="0.3"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2:15" x14ac:dyDescent="0.3"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2:15" x14ac:dyDescent="0.3"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2:15" x14ac:dyDescent="0.3"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2:15" x14ac:dyDescent="0.3"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2:15" x14ac:dyDescent="0.3"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  <row r="33" spans="2:15" x14ac:dyDescent="0.3"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spans="2:15" x14ac:dyDescent="0.3"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spans="2:15" x14ac:dyDescent="0.3"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</row>
    <row r="36" spans="2:15" x14ac:dyDescent="0.3"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</row>
    <row r="37" spans="2:15" x14ac:dyDescent="0.3"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</row>
    <row r="38" spans="2:15" x14ac:dyDescent="0.3"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</row>
    <row r="39" spans="2:15" x14ac:dyDescent="0.3"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</row>
    <row r="40" spans="2:15" x14ac:dyDescent="0.3"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</row>
    <row r="41" spans="2:15" x14ac:dyDescent="0.3"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spans="2:15" x14ac:dyDescent="0.3"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</row>
    <row r="43" spans="2:15" x14ac:dyDescent="0.3"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spans="2:15" x14ac:dyDescent="0.3"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</row>
    <row r="45" spans="2:15" x14ac:dyDescent="0.3"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</row>
    <row r="46" spans="2:15" x14ac:dyDescent="0.3"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</row>
    <row r="47" spans="2:15" x14ac:dyDescent="0.3"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</row>
    <row r="48" spans="2:15" x14ac:dyDescent="0.3"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</row>
    <row r="49" spans="2:15" x14ac:dyDescent="0.3"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2:15" x14ac:dyDescent="0.3"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</row>
    <row r="51" spans="2:15" x14ac:dyDescent="0.3"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</row>
    <row r="52" spans="2:15" x14ac:dyDescent="0.3"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</row>
    <row r="53" spans="2:15" x14ac:dyDescent="0.3"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2:15" x14ac:dyDescent="0.3"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</row>
    <row r="55" spans="2:15" x14ac:dyDescent="0.3"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</row>
    <row r="56" spans="2:15" x14ac:dyDescent="0.3"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</row>
    <row r="61" spans="2:15" x14ac:dyDescent="0.3">
      <c r="B61" t="s">
        <v>126</v>
      </c>
    </row>
    <row r="63" spans="2:15" x14ac:dyDescent="0.3">
      <c r="B63" t="s">
        <v>127</v>
      </c>
    </row>
    <row r="64" spans="2:15" x14ac:dyDescent="0.3">
      <c r="B64" t="s">
        <v>128</v>
      </c>
    </row>
    <row r="65" spans="2:2" x14ac:dyDescent="0.3">
      <c r="B65" t="s">
        <v>129</v>
      </c>
    </row>
    <row r="66" spans="2:2" x14ac:dyDescent="0.3">
      <c r="B66" t="s">
        <v>130</v>
      </c>
    </row>
    <row r="67" spans="2:2" x14ac:dyDescent="0.3">
      <c r="B67" t="s">
        <v>131</v>
      </c>
    </row>
  </sheetData>
  <mergeCells count="13">
    <mergeCell ref="N6:O6"/>
    <mergeCell ref="N7:O8"/>
    <mergeCell ref="B2:O2"/>
    <mergeCell ref="B3:O3"/>
    <mergeCell ref="B4:O4"/>
    <mergeCell ref="E6:F6"/>
    <mergeCell ref="E7:F8"/>
    <mergeCell ref="H6:I6"/>
    <mergeCell ref="H7:I8"/>
    <mergeCell ref="K6:L6"/>
    <mergeCell ref="K7:L8"/>
    <mergeCell ref="B6:C6"/>
    <mergeCell ref="B7:C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zoomScale="56" workbookViewId="0">
      <selection activeCell="I36" sqref="I36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111</v>
      </c>
    </row>
    <row r="3" spans="1:8" x14ac:dyDescent="0.3">
      <c r="A3" s="11" t="s">
        <v>112</v>
      </c>
      <c r="D3" s="11" t="s">
        <v>115</v>
      </c>
      <c r="G3" s="11" t="s">
        <v>117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106</v>
      </c>
      <c r="H4" t="s">
        <v>47</v>
      </c>
    </row>
    <row r="5" spans="1:8" x14ac:dyDescent="0.3">
      <c r="A5" t="s">
        <v>1</v>
      </c>
      <c r="B5">
        <f>Calculations!E2</f>
        <v>12795</v>
      </c>
      <c r="D5" t="s">
        <v>24</v>
      </c>
      <c r="E5">
        <f>Calculations!N2</f>
        <v>22020</v>
      </c>
      <c r="G5" t="s">
        <v>107</v>
      </c>
      <c r="H5">
        <f>Calculations!Q2</f>
        <v>11400</v>
      </c>
    </row>
    <row r="6" spans="1:8" x14ac:dyDescent="0.3">
      <c r="A6" t="s">
        <v>2</v>
      </c>
      <c r="B6">
        <f>Calculations!E3</f>
        <v>12045</v>
      </c>
      <c r="D6" t="s">
        <v>25</v>
      </c>
      <c r="E6">
        <f>Calculations!N3</f>
        <v>6260</v>
      </c>
      <c r="G6" t="s">
        <v>108</v>
      </c>
      <c r="H6">
        <f>Calculations!Q3</f>
        <v>11750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109</v>
      </c>
      <c r="H7">
        <f>Calculations!Q4</f>
        <v>14425</v>
      </c>
    </row>
    <row r="8" spans="1:8" x14ac:dyDescent="0.3">
      <c r="A8" t="s">
        <v>4</v>
      </c>
      <c r="B8">
        <f>Calculations!E5</f>
        <v>9740</v>
      </c>
      <c r="D8" t="s">
        <v>27</v>
      </c>
      <c r="E8">
        <f>Calculations!N5</f>
        <v>4480</v>
      </c>
      <c r="G8" t="s">
        <v>110</v>
      </c>
      <c r="H8">
        <f>Calculations!Q5</f>
        <v>7710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113</v>
      </c>
    </row>
    <row r="11" spans="1:8" x14ac:dyDescent="0.3">
      <c r="A11" t="s">
        <v>14</v>
      </c>
      <c r="B11" t="s">
        <v>114</v>
      </c>
      <c r="D11" s="11" t="s">
        <v>116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9450</v>
      </c>
      <c r="D13" t="s">
        <v>6</v>
      </c>
      <c r="E13">
        <f>Calculations!H2</f>
        <v>7665</v>
      </c>
    </row>
    <row r="14" spans="1:8" x14ac:dyDescent="0.3">
      <c r="A14" t="s">
        <v>17</v>
      </c>
      <c r="B14">
        <f>Calculations!K4</f>
        <v>6720</v>
      </c>
      <c r="D14" t="s">
        <v>7</v>
      </c>
      <c r="E14">
        <f>Calculations!H3</f>
        <v>7595</v>
      </c>
    </row>
    <row r="15" spans="1:8" x14ac:dyDescent="0.3">
      <c r="A15" t="s">
        <v>18</v>
      </c>
      <c r="B15">
        <f>Calculations!K5</f>
        <v>4480</v>
      </c>
      <c r="D15" t="s">
        <v>8</v>
      </c>
      <c r="E15">
        <f>Calculations!H4</f>
        <v>6235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5620</v>
      </c>
    </row>
    <row r="17" spans="1:5" x14ac:dyDescent="0.3">
      <c r="A17" t="s">
        <v>20</v>
      </c>
      <c r="B17">
        <f>Calculations!K7</f>
        <v>2340</v>
      </c>
      <c r="D17" t="s">
        <v>10</v>
      </c>
      <c r="E17">
        <f>Calculations!H6</f>
        <v>5130</v>
      </c>
    </row>
    <row r="18" spans="1:5" x14ac:dyDescent="0.3">
      <c r="A18" t="s">
        <v>21</v>
      </c>
      <c r="B18">
        <f>Calculations!K8</f>
        <v>2075</v>
      </c>
      <c r="D18" t="s">
        <v>11</v>
      </c>
      <c r="E18">
        <f>Calculations!H7</f>
        <v>4470</v>
      </c>
    </row>
    <row r="19" spans="1:5" x14ac:dyDescent="0.3">
      <c r="A19" t="s">
        <v>22</v>
      </c>
      <c r="B19">
        <f>Calculations!K9</f>
        <v>1845</v>
      </c>
      <c r="D19" t="s">
        <v>12</v>
      </c>
      <c r="E19">
        <f>Calculations!H8</f>
        <v>4450</v>
      </c>
    </row>
    <row r="20" spans="1:5" x14ac:dyDescent="0.3">
      <c r="D20" t="s">
        <v>13</v>
      </c>
      <c r="E20">
        <f>Calculations!H9</f>
        <v>4120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zoomScaleNormal="100" workbookViewId="0">
      <selection activeCell="J1" sqref="J1:K9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3" max="13" width="12.109375" customWidth="1"/>
    <col min="14" max="14" width="10.6640625" customWidth="1"/>
  </cols>
  <sheetData>
    <row r="1" spans="1:17" x14ac:dyDescent="0.3">
      <c r="A1" s="11" t="s">
        <v>98</v>
      </c>
      <c r="B1" s="11" t="s">
        <v>99</v>
      </c>
      <c r="D1" s="11" t="s">
        <v>0</v>
      </c>
      <c r="E1" s="11" t="s">
        <v>105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106</v>
      </c>
      <c r="Q1" s="11" t="s">
        <v>105</v>
      </c>
    </row>
    <row r="2" spans="1:17" x14ac:dyDescent="0.3">
      <c r="A2" t="s">
        <v>47</v>
      </c>
      <c r="B2" s="12">
        <f>SUM(SalesTable[Total Sales])</f>
        <v>45285</v>
      </c>
      <c r="D2" t="s">
        <v>4</v>
      </c>
      <c r="E2">
        <f>SUMIF(SalesTable[Region],D2,SalesTable[Total Sales])</f>
        <v>12795</v>
      </c>
      <c r="G2" t="s">
        <v>13</v>
      </c>
      <c r="H2">
        <f>SUMIF(SalesTable[Salesperson],G2,SalesTable[Total Sales])</f>
        <v>7665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107</v>
      </c>
      <c r="Q2">
        <f>SUMIFS(SalesTable[Total Sales],SalesTable[Date],"&gt;="&amp;DATE(2026,1,1),SalesTable[Date],"&lt;"&amp;DATE(2026,2,1))</f>
        <v>11400</v>
      </c>
    </row>
    <row r="3" spans="1:17" x14ac:dyDescent="0.3">
      <c r="A3" t="s">
        <v>100</v>
      </c>
      <c r="B3" s="13">
        <f>SUM(SalesTable[Quantity])</f>
        <v>277</v>
      </c>
      <c r="D3" t="s">
        <v>1</v>
      </c>
      <c r="E3">
        <f>SUMIF(SalesTable[Region],D3,SalesTable[Total Sales])</f>
        <v>12045</v>
      </c>
      <c r="G3" t="s">
        <v>6</v>
      </c>
      <c r="H3">
        <f>SUMIF(SalesTable[Salesperson],G3,SalesTable[Total Sales])</f>
        <v>7595</v>
      </c>
      <c r="J3" t="s">
        <v>22</v>
      </c>
      <c r="K3">
        <f>SUMIF(SalesTable[Product],J3,SalesTable[Total Sales])</f>
        <v>9450</v>
      </c>
      <c r="M3" t="s">
        <v>25</v>
      </c>
      <c r="N3">
        <f>SUMIF(SalesTable[Category],M3,SalesTable[Total Sales])</f>
        <v>6260</v>
      </c>
      <c r="P3" t="s">
        <v>108</v>
      </c>
      <c r="Q3">
        <f>SUMIFS(SalesTable[Total Sales],SalesTable[Date],"&gt;="&amp;DATE(2026,2,1),SalesTable[Date],"&lt;"&amp;DATE(2026,3,1))</f>
        <v>11750</v>
      </c>
    </row>
    <row r="4" spans="1:17" x14ac:dyDescent="0.3">
      <c r="A4" t="s">
        <v>101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12</v>
      </c>
      <c r="H4">
        <f>SUMIF(SalesTable[Salesperson],G4,SalesTable[Total Sales])</f>
        <v>6235</v>
      </c>
      <c r="J4" t="s">
        <v>16</v>
      </c>
      <c r="K4">
        <f>SUMIF(SalesTable[Product],J4,SalesTable[Total Sales])</f>
        <v>6720</v>
      </c>
      <c r="M4" t="s">
        <v>26</v>
      </c>
      <c r="N4">
        <f>SUMIF(SalesTable[Category],M4,SalesTable[Total Sales])</f>
        <v>3075</v>
      </c>
      <c r="P4" t="s">
        <v>109</v>
      </c>
      <c r="Q4">
        <f>SUMIFS(SalesTable[Total Sales],SalesTable[Date],"&gt;="&amp;DATE(2026,3,1),SalesTable[Date],"&lt;"&amp;DATE(2026,4,1))</f>
        <v>14425</v>
      </c>
    </row>
    <row r="5" spans="1:17" x14ac:dyDescent="0.3">
      <c r="A5" t="s">
        <v>102</v>
      </c>
      <c r="B5">
        <f>AVEDEV(SalesTable[Total Sales])</f>
        <v>485.89600000000007</v>
      </c>
      <c r="D5" t="s">
        <v>2</v>
      </c>
      <c r="E5">
        <f>SUMIF(SalesTable[Region],D5,SalesTable[Total Sales])</f>
        <v>9740</v>
      </c>
      <c r="G5" t="s">
        <v>7</v>
      </c>
      <c r="H5">
        <f>SUMIF(SalesTable[Salesperson],G5,SalesTable[Total Sales])</f>
        <v>5620</v>
      </c>
      <c r="J5" t="s">
        <v>20</v>
      </c>
      <c r="K5">
        <f>SUMIF(SalesTable[Product],J5,SalesTable[Total Sales])</f>
        <v>4480</v>
      </c>
      <c r="M5" t="s">
        <v>27</v>
      </c>
      <c r="N5">
        <f>SUMIF(SalesTable[Category],M5,SalesTable[Total Sales])</f>
        <v>4480</v>
      </c>
      <c r="P5" t="s">
        <v>110</v>
      </c>
      <c r="Q5">
        <f>SUMIFS(SalesTable[Total Sales],SalesTable[Date],"&gt;="&amp;DATE(2026,4,1),SalesTable[Date],"&lt;"&amp;DATE(2026,5,1))</f>
        <v>7710</v>
      </c>
    </row>
    <row r="6" spans="1:17" x14ac:dyDescent="0.3">
      <c r="A6" t="s">
        <v>103</v>
      </c>
      <c r="B6">
        <f>MAX(SalesTable[Total Sales])</f>
        <v>2550</v>
      </c>
      <c r="G6" t="s">
        <v>9</v>
      </c>
      <c r="H6">
        <f>SUMIF(SalesTable[Salesperson],G6,SalesTable[Total Sales])</f>
        <v>5130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104</v>
      </c>
      <c r="B7">
        <f>MIN(SalesTable[Total Sales])</f>
        <v>200</v>
      </c>
      <c r="G7" t="s">
        <v>8</v>
      </c>
      <c r="H7">
        <f>SUMIF(SalesTable[Salesperson],G7,SalesTable[Total Sales])</f>
        <v>4470</v>
      </c>
      <c r="J7" t="s">
        <v>21</v>
      </c>
      <c r="K7">
        <f>SUMIF(SalesTable[Product],J7,SalesTable[Total Sales])</f>
        <v>2340</v>
      </c>
    </row>
    <row r="8" spans="1:17" x14ac:dyDescent="0.3">
      <c r="G8" t="s">
        <v>10</v>
      </c>
      <c r="H8">
        <f>SUMIF(SalesTable[Salesperson],G8,SalesTable[Total Sales])</f>
        <v>4450</v>
      </c>
      <c r="J8" t="s">
        <v>18</v>
      </c>
      <c r="K8">
        <f>SUMIF(SalesTable[Product],J8,SalesTable[Total Sales])</f>
        <v>2075</v>
      </c>
    </row>
    <row r="9" spans="1:17" x14ac:dyDescent="0.3">
      <c r="G9" t="s">
        <v>11</v>
      </c>
      <c r="H9">
        <f>SUMIF(SalesTable[Salesperson],G9,SalesTable[Total Sales])</f>
        <v>4120</v>
      </c>
      <c r="J9" t="s">
        <v>17</v>
      </c>
      <c r="K9">
        <f>SUMIF(SalesTable[Product],J9,SalesTable[Total Sales])</f>
        <v>1845</v>
      </c>
    </row>
  </sheetData>
  <sortState xmlns:xlrd2="http://schemas.microsoft.com/office/spreadsheetml/2017/richdata2" ref="D2:E5">
    <sortCondition descending="1" ref="E2:E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2A50C-9399-4943-8F16-F8A4DFABAB57}">
  <dimension ref="A1:N10"/>
  <sheetViews>
    <sheetView tabSelected="1" zoomScale="25" zoomScaleNormal="25" workbookViewId="0">
      <selection activeCell="Y40" sqref="Y40"/>
    </sheetView>
  </sheetViews>
  <sheetFormatPr defaultRowHeight="14.4" x14ac:dyDescent="0.3"/>
  <cols>
    <col min="1" max="1" width="13.44140625" bestFit="1" customWidth="1"/>
    <col min="2" max="2" width="13" bestFit="1" customWidth="1"/>
    <col min="4" max="4" width="13.44140625" bestFit="1" customWidth="1"/>
    <col min="5" max="5" width="13" bestFit="1" customWidth="1"/>
    <col min="7" max="7" width="13.44140625" bestFit="1" customWidth="1"/>
    <col min="8" max="8" width="13" bestFit="1" customWidth="1"/>
    <col min="10" max="10" width="13.44140625" bestFit="1" customWidth="1"/>
    <col min="11" max="11" width="13" bestFit="1" customWidth="1"/>
    <col min="13" max="13" width="13.44140625" bestFit="1" customWidth="1"/>
    <col min="14" max="14" width="17.33203125" bestFit="1" customWidth="1"/>
  </cols>
  <sheetData>
    <row r="1" spans="1:14" x14ac:dyDescent="0.3">
      <c r="A1" s="29" t="s">
        <v>134</v>
      </c>
      <c r="B1" t="s">
        <v>137</v>
      </c>
      <c r="D1" s="29" t="s">
        <v>134</v>
      </c>
      <c r="E1" t="s">
        <v>137</v>
      </c>
      <c r="G1" s="29" t="s">
        <v>134</v>
      </c>
      <c r="H1" t="s">
        <v>137</v>
      </c>
      <c r="J1" s="29" t="s">
        <v>134</v>
      </c>
      <c r="K1" t="s">
        <v>137</v>
      </c>
      <c r="M1" s="29" t="s">
        <v>134</v>
      </c>
      <c r="N1" t="s">
        <v>136</v>
      </c>
    </row>
    <row r="2" spans="1:14" x14ac:dyDescent="0.3">
      <c r="A2" s="30" t="s">
        <v>3</v>
      </c>
      <c r="B2" s="12">
        <v>10705</v>
      </c>
      <c r="D2" s="30" t="s">
        <v>19</v>
      </c>
      <c r="E2" s="12">
        <v>3075</v>
      </c>
      <c r="G2" s="30" t="s">
        <v>25</v>
      </c>
      <c r="H2" s="12">
        <v>6260</v>
      </c>
      <c r="J2" s="30" t="s">
        <v>10</v>
      </c>
      <c r="K2" s="12">
        <v>4450</v>
      </c>
      <c r="M2" s="30" t="s">
        <v>138</v>
      </c>
      <c r="N2" s="12">
        <v>45285</v>
      </c>
    </row>
    <row r="3" spans="1:14" x14ac:dyDescent="0.3">
      <c r="A3" s="30" t="s">
        <v>1</v>
      </c>
      <c r="B3" s="12">
        <v>12045</v>
      </c>
      <c r="D3" s="30" t="s">
        <v>17</v>
      </c>
      <c r="E3" s="12">
        <v>1845</v>
      </c>
      <c r="G3" s="30" t="s">
        <v>26</v>
      </c>
      <c r="H3" s="12">
        <v>3075</v>
      </c>
      <c r="J3" s="30" t="s">
        <v>12</v>
      </c>
      <c r="K3" s="12">
        <v>6235</v>
      </c>
      <c r="M3" s="32" t="s">
        <v>139</v>
      </c>
      <c r="N3" s="12">
        <v>11400</v>
      </c>
    </row>
    <row r="4" spans="1:14" x14ac:dyDescent="0.3">
      <c r="A4" s="30" t="s">
        <v>2</v>
      </c>
      <c r="B4" s="12">
        <v>9740</v>
      </c>
      <c r="D4" s="30" t="s">
        <v>15</v>
      </c>
      <c r="E4" s="12">
        <v>15300</v>
      </c>
      <c r="G4" s="30" t="s">
        <v>24</v>
      </c>
      <c r="H4" s="12">
        <v>22020</v>
      </c>
      <c r="J4" s="30" t="s">
        <v>6</v>
      </c>
      <c r="K4" s="12">
        <v>7595</v>
      </c>
      <c r="M4" s="32" t="s">
        <v>140</v>
      </c>
      <c r="N4" s="12">
        <v>11750</v>
      </c>
    </row>
    <row r="5" spans="1:14" x14ac:dyDescent="0.3">
      <c r="A5" s="30" t="s">
        <v>4</v>
      </c>
      <c r="B5" s="12">
        <v>12795</v>
      </c>
      <c r="D5" s="30" t="s">
        <v>16</v>
      </c>
      <c r="E5" s="12">
        <v>6720</v>
      </c>
      <c r="G5" s="30" t="s">
        <v>28</v>
      </c>
      <c r="H5" s="12">
        <v>9450</v>
      </c>
      <c r="J5" s="30" t="s">
        <v>9</v>
      </c>
      <c r="K5" s="12">
        <v>5130</v>
      </c>
      <c r="M5" s="32" t="s">
        <v>141</v>
      </c>
      <c r="N5" s="12">
        <v>14425</v>
      </c>
    </row>
    <row r="6" spans="1:14" x14ac:dyDescent="0.3">
      <c r="A6" s="30" t="s">
        <v>135</v>
      </c>
      <c r="B6" s="12">
        <v>45285</v>
      </c>
      <c r="D6" s="30" t="s">
        <v>18</v>
      </c>
      <c r="E6" s="12">
        <v>2075</v>
      </c>
      <c r="G6" s="30" t="s">
        <v>27</v>
      </c>
      <c r="H6" s="12">
        <v>4480</v>
      </c>
      <c r="J6" s="30" t="s">
        <v>8</v>
      </c>
      <c r="K6" s="12">
        <v>4470</v>
      </c>
      <c r="M6" s="32" t="s">
        <v>142</v>
      </c>
      <c r="N6" s="12">
        <v>7710</v>
      </c>
    </row>
    <row r="7" spans="1:14" x14ac:dyDescent="0.3">
      <c r="D7" s="30" t="s">
        <v>20</v>
      </c>
      <c r="E7" s="12">
        <v>4480</v>
      </c>
      <c r="G7" s="30" t="s">
        <v>135</v>
      </c>
      <c r="H7" s="12">
        <v>45285</v>
      </c>
      <c r="J7" s="30" t="s">
        <v>13</v>
      </c>
      <c r="K7" s="12">
        <v>7665</v>
      </c>
      <c r="M7" s="31" t="s">
        <v>135</v>
      </c>
      <c r="N7" s="12">
        <v>45285</v>
      </c>
    </row>
    <row r="8" spans="1:14" x14ac:dyDescent="0.3">
      <c r="D8" s="30" t="s">
        <v>22</v>
      </c>
      <c r="E8" s="12">
        <v>9450</v>
      </c>
      <c r="J8" s="30" t="s">
        <v>7</v>
      </c>
      <c r="K8" s="12">
        <v>5620</v>
      </c>
    </row>
    <row r="9" spans="1:14" x14ac:dyDescent="0.3">
      <c r="D9" s="30" t="s">
        <v>21</v>
      </c>
      <c r="E9" s="12">
        <v>2340</v>
      </c>
      <c r="J9" s="30" t="s">
        <v>11</v>
      </c>
      <c r="K9" s="12">
        <v>4120</v>
      </c>
    </row>
    <row r="10" spans="1:14" x14ac:dyDescent="0.3">
      <c r="D10" s="30" t="s">
        <v>135</v>
      </c>
      <c r="E10" s="12">
        <v>45285</v>
      </c>
      <c r="J10" s="30" t="s">
        <v>135</v>
      </c>
      <c r="K10" s="12">
        <v>45285</v>
      </c>
    </row>
  </sheetData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M51"/>
  <sheetViews>
    <sheetView zoomScale="70" zoomScaleNormal="70" workbookViewId="0">
      <pane ySplit="1" topLeftCell="A2" activePane="bottomLeft" state="frozen"/>
      <selection pane="bottomLeft" activeCell="D25" sqref="D25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3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3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  <c r="M2" t="b">
        <f>ISNUMBER(B2)</f>
        <v>1</v>
      </c>
    </row>
    <row r="3" spans="1:13" x14ac:dyDescent="0.3">
      <c r="A3" s="4" t="s">
        <v>49</v>
      </c>
      <c r="B3" s="3">
        <v>46024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3" x14ac:dyDescent="0.3">
      <c r="A4" s="2" t="s">
        <v>50</v>
      </c>
      <c r="B4" s="1">
        <v>46025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3" x14ac:dyDescent="0.3">
      <c r="A5" s="4" t="s">
        <v>51</v>
      </c>
      <c r="B5" s="3">
        <v>46027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3" x14ac:dyDescent="0.3">
      <c r="A6" s="2" t="s">
        <v>52</v>
      </c>
      <c r="B6" s="1">
        <v>46028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3" x14ac:dyDescent="0.3">
      <c r="A7" s="4" t="s">
        <v>53</v>
      </c>
      <c r="B7" s="3">
        <v>46030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3" x14ac:dyDescent="0.3">
      <c r="A8" s="2" t="s">
        <v>54</v>
      </c>
      <c r="B8" s="1">
        <v>46032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3" x14ac:dyDescent="0.3">
      <c r="A9" s="4" t="s">
        <v>55</v>
      </c>
      <c r="B9" s="3">
        <v>46034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3" x14ac:dyDescent="0.3">
      <c r="A10" s="2" t="s">
        <v>56</v>
      </c>
      <c r="B10" s="1">
        <v>46037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3" x14ac:dyDescent="0.3">
      <c r="A11" s="4" t="s">
        <v>57</v>
      </c>
      <c r="B11" s="3">
        <v>46040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3" x14ac:dyDescent="0.3">
      <c r="A12" s="2" t="s">
        <v>58</v>
      </c>
      <c r="B12" s="1">
        <v>46042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3" x14ac:dyDescent="0.3">
      <c r="A13" s="4" t="s">
        <v>59</v>
      </c>
      <c r="B13" s="3">
        <v>46044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3" x14ac:dyDescent="0.3">
      <c r="A14" s="2" t="s">
        <v>60</v>
      </c>
      <c r="B14" s="1">
        <v>46047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3" x14ac:dyDescent="0.3">
      <c r="A15" s="4" t="s">
        <v>61</v>
      </c>
      <c r="B15" s="3">
        <v>46050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3" x14ac:dyDescent="0.3">
      <c r="A16" s="2" t="s">
        <v>62</v>
      </c>
      <c r="B16" s="1">
        <v>46052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63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64</v>
      </c>
      <c r="B18" s="1">
        <v>46057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65</v>
      </c>
      <c r="B19" s="3">
        <v>46059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66</v>
      </c>
      <c r="B20" s="1">
        <v>46061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67</v>
      </c>
      <c r="B21" s="3">
        <v>46063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68</v>
      </c>
      <c r="B22" s="1">
        <v>46065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69</v>
      </c>
      <c r="B23" s="3">
        <v>46067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70</v>
      </c>
      <c r="B24" s="1">
        <v>46069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71</v>
      </c>
      <c r="B25" s="3">
        <v>46071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72</v>
      </c>
      <c r="B26" s="1">
        <v>46073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73</v>
      </c>
      <c r="B27" s="3">
        <v>46075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74</v>
      </c>
      <c r="B28" s="1">
        <v>46077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75</v>
      </c>
      <c r="B29" s="3">
        <v>46079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76</v>
      </c>
      <c r="B30" s="1">
        <v>46081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77</v>
      </c>
      <c r="B31" s="3">
        <v>46083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78</v>
      </c>
      <c r="B32" s="1">
        <v>46085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79</v>
      </c>
      <c r="B33" s="3">
        <v>46087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80</v>
      </c>
      <c r="B34" s="1">
        <v>46089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81</v>
      </c>
      <c r="B35" s="3">
        <v>46091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82</v>
      </c>
      <c r="B36" s="1">
        <v>46093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83</v>
      </c>
      <c r="B37" s="3">
        <v>46095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84</v>
      </c>
      <c r="B38" s="1">
        <v>46097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85</v>
      </c>
      <c r="B39" s="3">
        <v>46099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86</v>
      </c>
      <c r="B40" s="1">
        <v>46101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87</v>
      </c>
      <c r="B41" s="3">
        <v>46103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88</v>
      </c>
      <c r="B42" s="1">
        <v>46105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89</v>
      </c>
      <c r="B43" s="3">
        <v>46107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90</v>
      </c>
      <c r="B44" s="1">
        <v>46109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91</v>
      </c>
      <c r="B45" s="3">
        <v>46111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92</v>
      </c>
      <c r="B46" s="1">
        <v>46113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93</v>
      </c>
      <c r="B47" s="3">
        <v>46117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94</v>
      </c>
      <c r="B48" s="1">
        <v>46122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95</v>
      </c>
      <c r="B49" s="3">
        <v>46127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96</v>
      </c>
      <c r="B50" s="1">
        <v>46132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97</v>
      </c>
      <c r="B51" s="3">
        <v>46137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15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H10"/>
  <sheetViews>
    <sheetView zoomScale="88" zoomScaleNormal="175" workbookViewId="0">
      <selection activeCell="H1" sqref="H1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  <col min="8" max="8" width="17.5546875" customWidth="1"/>
  </cols>
  <sheetData>
    <row r="1" spans="1:8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  <c r="H1" s="11" t="s">
        <v>132</v>
      </c>
    </row>
    <row r="2" spans="1:8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  <c r="H2" t="s">
        <v>133</v>
      </c>
    </row>
    <row r="3" spans="1:8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  <c r="H3" t="s">
        <v>6</v>
      </c>
    </row>
    <row r="4" spans="1:8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  <c r="H4" t="s">
        <v>7</v>
      </c>
    </row>
    <row r="5" spans="1:8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  <c r="H5" t="s">
        <v>8</v>
      </c>
    </row>
    <row r="6" spans="1:8" x14ac:dyDescent="0.3">
      <c r="B6" t="s">
        <v>10</v>
      </c>
      <c r="C6" t="s">
        <v>19</v>
      </c>
      <c r="D6" t="s">
        <v>28</v>
      </c>
      <c r="F6" t="s">
        <v>39</v>
      </c>
      <c r="H6" t="s">
        <v>9</v>
      </c>
    </row>
    <row r="7" spans="1:8" x14ac:dyDescent="0.3">
      <c r="B7" t="s">
        <v>11</v>
      </c>
      <c r="C7" t="s">
        <v>20</v>
      </c>
      <c r="F7" t="s">
        <v>40</v>
      </c>
      <c r="H7" t="s">
        <v>10</v>
      </c>
    </row>
    <row r="8" spans="1:8" x14ac:dyDescent="0.3">
      <c r="B8" t="s">
        <v>12</v>
      </c>
      <c r="C8" t="s">
        <v>21</v>
      </c>
      <c r="F8" t="s">
        <v>41</v>
      </c>
      <c r="H8" t="s">
        <v>11</v>
      </c>
    </row>
    <row r="9" spans="1:8" x14ac:dyDescent="0.3">
      <c r="B9" t="s">
        <v>13</v>
      </c>
      <c r="C9" t="s">
        <v>22</v>
      </c>
      <c r="F9" t="s">
        <v>42</v>
      </c>
      <c r="H9" t="s">
        <v>12</v>
      </c>
    </row>
    <row r="10" spans="1:8" x14ac:dyDescent="0.3">
      <c r="H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Analysis</vt:lpstr>
      <vt:lpstr>Calculations</vt:lpstr>
      <vt:lpstr>Pivot Analysis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2026-07-31T20:04:16Z</dcterms:modified>
</cp:coreProperties>
</file>