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F257A7AB-B2FA-460B-B60E-0F9CBA9B07DC}" xr6:coauthVersionLast="47" xr6:coauthVersionMax="47" xr10:uidLastSave="{00000000-0000-0000-0000-000000000000}"/>
  <bookViews>
    <workbookView xWindow="-96" yWindow="0" windowWidth="11712" windowHeight="12336" xr2:uid="{B7497976-6BF0-42CC-AA8A-1BF9F284EB1D}"/>
  </bookViews>
  <sheets>
    <sheet name="Dashboard" sheetId="1" r:id="rId1"/>
    <sheet name="Analysis" sheetId="2" r:id="rId2"/>
    <sheet name="Calculations" sheetId="3" r:id="rId3"/>
    <sheet name="Sales Data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1" l="1"/>
  <c r="K7" i="1"/>
  <c r="H7" i="1"/>
  <c r="E7" i="1"/>
  <c r="B7" i="1"/>
  <c r="H6" i="2"/>
  <c r="H7" i="2"/>
  <c r="H8" i="2"/>
  <c r="H5" i="2"/>
  <c r="E14" i="2"/>
  <c r="E15" i="2"/>
  <c r="E16" i="2"/>
  <c r="E17" i="2"/>
  <c r="E18" i="2"/>
  <c r="E19" i="2"/>
  <c r="E20" i="2"/>
  <c r="E13" i="2"/>
  <c r="E6" i="2"/>
  <c r="E7" i="2"/>
  <c r="E8" i="2"/>
  <c r="E9" i="2"/>
  <c r="E5" i="2"/>
  <c r="B13" i="2"/>
  <c r="B14" i="2"/>
  <c r="B15" i="2"/>
  <c r="B16" i="2"/>
  <c r="B17" i="2"/>
  <c r="B18" i="2"/>
  <c r="B19" i="2"/>
  <c r="B12" i="2"/>
  <c r="B6" i="2"/>
  <c r="B7" i="2"/>
  <c r="B8" i="2"/>
  <c r="B5" i="2"/>
  <c r="Q5" i="3"/>
  <c r="Q4" i="3"/>
  <c r="Q3" i="3"/>
  <c r="Q2" i="3"/>
  <c r="N3" i="3"/>
  <c r="N4" i="3"/>
  <c r="N5" i="3"/>
  <c r="N6" i="3"/>
  <c r="N2" i="3"/>
  <c r="K3" i="3"/>
  <c r="K4" i="3"/>
  <c r="K5" i="3"/>
  <c r="K6" i="3"/>
  <c r="K7" i="3"/>
  <c r="K8" i="3"/>
  <c r="K9" i="3"/>
  <c r="K2" i="3"/>
  <c r="H3" i="3"/>
  <c r="H4" i="3"/>
  <c r="H5" i="3"/>
  <c r="H6" i="3"/>
  <c r="H7" i="3"/>
  <c r="H8" i="3"/>
  <c r="H9" i="3"/>
  <c r="H2" i="3"/>
  <c r="E2" i="3"/>
  <c r="E3" i="3"/>
  <c r="E4" i="3"/>
  <c r="E5" i="3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</calcChain>
</file>

<file path=xl/sharedStrings.xml><?xml version="1.0" encoding="utf-8"?>
<sst xmlns="http://schemas.openxmlformats.org/spreadsheetml/2006/main" count="481" uniqueCount="153">
  <si>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</si>
  <si>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</si>
  <si>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</si>
  <si>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</si>
  <si>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</si>
  <si>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</si>
  <si>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</si>
  <si>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</si>
  <si>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</si>
  <si>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</si>
  <si>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</si>
  <si>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</si>
  <si>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</si>
  <si>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</si>
  <si>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</si>
  <si>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</si>
  <si>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</si>
  <si>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</si>
  <si>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</si>
  <si>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</si>
  <si>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</si>
  <si>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</si>
  <si>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</si>
  <si>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</si>
  <si>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</si>
  <si>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</si>
  <si>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</si>
  <si>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</si>
  <si>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</si>
  <si>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</si>
  <si>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</si>
  <si>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</si>
  <si>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</si>
  <si>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</si>
  <si>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</si>
  <si>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</si>
  <si>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</si>
  <si>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</si>
  <si>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</si>
  <si>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</si>
  <si>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</si>
  <si>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</si>
  <si>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</si>
  <si>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</si>
  <si>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</si>
  <si>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</si>
  <si>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</si>
  <si>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</si>
  <si>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</si>
  <si>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</si>
  <si>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</si>
  <si>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</si>
  <si>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</si>
  <si>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</si>
  <si>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</si>
  <si>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</si>
  <si>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</si>
  <si>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15/01/2026</t>
  </si>
  <si>
    <t>ORD010</t>
  </si>
  <si>
    <t>18/01/2026</t>
  </si>
  <si>
    <t>ORD011</t>
  </si>
  <si>
    <t>20/01/2026</t>
  </si>
  <si>
    <t>ORD012</t>
  </si>
  <si>
    <t>22/01/2026</t>
  </si>
  <si>
    <t>ORD013</t>
  </si>
  <si>
    <t>25/01/2026</t>
  </si>
  <si>
    <t>ORD014</t>
  </si>
  <si>
    <t>28/01/2026</t>
  </si>
  <si>
    <t>ORD015</t>
  </si>
  <si>
    <t>30/01/2026</t>
  </si>
  <si>
    <t>ORD016</t>
  </si>
  <si>
    <t>ORD017</t>
  </si>
  <si>
    <t>ORD018</t>
  </si>
  <si>
    <t>ORD019</t>
  </si>
  <si>
    <t>ORD020</t>
  </si>
  <si>
    <t>ORD021</t>
  </si>
  <si>
    <t>ORD022</t>
  </si>
  <si>
    <t>14/02/2026</t>
  </si>
  <si>
    <t>ORD023</t>
  </si>
  <si>
    <t>16/02/2026</t>
  </si>
  <si>
    <t>ORD024</t>
  </si>
  <si>
    <t>18/02/2026</t>
  </si>
  <si>
    <t>ORD025</t>
  </si>
  <si>
    <t>20/02/2026</t>
  </si>
  <si>
    <t>ORD026</t>
  </si>
  <si>
    <t>22/02/2026</t>
  </si>
  <si>
    <t>ORD027</t>
  </si>
  <si>
    <t>24/02/2026</t>
  </si>
  <si>
    <t>ORD028</t>
  </si>
  <si>
    <t>26/02/2026</t>
  </si>
  <si>
    <t>ORD029</t>
  </si>
  <si>
    <t>28/02/2026</t>
  </si>
  <si>
    <t>ORD030</t>
  </si>
  <si>
    <t>ORD031</t>
  </si>
  <si>
    <t>ORD032</t>
  </si>
  <si>
    <t>ORD033</t>
  </si>
  <si>
    <t>ORD034</t>
  </si>
  <si>
    <t>ORD035</t>
  </si>
  <si>
    <t>ORD036</t>
  </si>
  <si>
    <t>14/03/2026</t>
  </si>
  <si>
    <t>ORD037</t>
  </si>
  <si>
    <t>16/03/2026</t>
  </si>
  <si>
    <t>ORD038</t>
  </si>
  <si>
    <t>18/03/2026</t>
  </si>
  <si>
    <t>ORD039</t>
  </si>
  <si>
    <t>20/03/2026</t>
  </si>
  <si>
    <t>ORD040</t>
  </si>
  <si>
    <t>22/03/2026</t>
  </si>
  <si>
    <t>ORD041</t>
  </si>
  <si>
    <t>24/03/2026</t>
  </si>
  <si>
    <t>ORD042</t>
  </si>
  <si>
    <t>26/03/2026</t>
  </si>
  <si>
    <t>ORD043</t>
  </si>
  <si>
    <t>28/03/2026</t>
  </si>
  <si>
    <t>ORD044</t>
  </si>
  <si>
    <t>30/03/2026</t>
  </si>
  <si>
    <t>ORD045</t>
  </si>
  <si>
    <t>ORD046</t>
  </si>
  <si>
    <t>ORD047</t>
  </si>
  <si>
    <t>ORD048</t>
  </si>
  <si>
    <t>15/04/2026</t>
  </si>
  <si>
    <t>ORD049</t>
  </si>
  <si>
    <t>20/04/2026</t>
  </si>
  <si>
    <t>ORD050</t>
  </si>
  <si>
    <t>25/04/2026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</si>
  <si>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</si>
  <si>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</si>
  <si>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</si>
  <si>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</si>
  <si>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</si>
  <si>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</si>
  <si>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</si>
  <si>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</si>
  <si>
    <t>Month</t>
  </si>
  <si>
    <t>January</t>
  </si>
  <si>
    <t>February</t>
  </si>
  <si>
    <t>March</t>
  </si>
  <si>
    <t>April</t>
  </si>
  <si>
    <t>Sales Performance Analysis</t>
  </si>
  <si>
    <t>Sales by Region</t>
  </si>
  <si>
    <t>Sales by Product</t>
  </si>
  <si>
    <t>Total  Sales</t>
  </si>
  <si>
    <t>Sales by Category</t>
  </si>
  <si>
    <t>Salesperson Performance</t>
  </si>
  <si>
    <t>Monthly Sales</t>
  </si>
  <si>
    <t>NOVA TECH SOLUTIONS</t>
  </si>
  <si>
    <t>January - April 2026</t>
  </si>
  <si>
    <t>SALES PERFORMANCE DASHBOARD</t>
  </si>
  <si>
    <t>TOTAL SALES</t>
  </si>
  <si>
    <t>TOTAL ORDERS</t>
  </si>
  <si>
    <t>UNITS SOLD</t>
  </si>
  <si>
    <t>AVG ORDER VALUE</t>
  </si>
  <si>
    <t>HIGHEST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</si>
</sst>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LKR]\ #,##0.00;[Red][$LKR]\ #,##0.00"/>
    <numFmt numFmtId="168" formatCode="[$LKR]\ #,##0.0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/>
    <xf numFmtId="168" fontId="0" fillId="0" borderId="0" xfId="0" applyNumberFormat="1" applyAlignment="1"/>
    <xf numFmtId="0" fontId="2" fillId="0" borderId="2" xfId="0" applyFont="1" applyBorder="1" applyAlignment="1">
      <alignment horizontal="center"/>
    </xf>
    <xf numFmtId="168" fontId="8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168" fontId="7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Analysis!$B$5:$B$8</c:f>
              <c:numCache>
                <c:formatCode>General</c:formatCode>
                <c:ptCount val="4"/>
                <c:pt idx="0">
                  <c:v>12045</c:v>
                </c:pt>
                <c:pt idx="1">
                  <c:v>9740</c:v>
                </c:pt>
                <c:pt idx="2">
                  <c:v>10705</c:v>
                </c:pt>
                <c:pt idx="3">
                  <c:v>12795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8-4934-BF01-C5EB0208F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497520"/>
        <c:axId val="2021543760"/>
      </c:barChart>
      <c:catAx>
        <c:axId val="20184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43760"/>
        <c:crosses val="autoZero"/>
        <c:auto val="1"/>
        <c:lblAlgn val="ctr"/>
        <c:lblOffset val="100"/>
        <c:noMultiLvlLbl val="0"/>
      </c:catAx>
      <c:valAx>
        <c:axId val="202154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4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Analysis!$B$11</c:f>
              <c:strCache>
                <c:ptCount val="1"/>
                <c:pt idx="0">
                  <c:v>Total 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Analysis!$A$12:$A$19</c:f>
              <c:strCache>
                <c:ptCount val="8"/>
                <c:pt idx="0">
                  <c:v>Laptop</c:v>
                </c:pt>
                <c:pt idx="1">
                  <c:v>Monitor</c:v>
                </c:pt>
                <c:pt idx="2">
                  <c:v>Keyboard</c:v>
                </c:pt>
                <c:pt idx="3">
                  <c:v>Mouse</c:v>
                </c:pt>
                <c:pt idx="4">
                  <c:v>Headphones</c:v>
                </c:pt>
                <c:pt idx="5">
                  <c:v>Printer</c:v>
                </c:pt>
                <c:pt idx="6">
                  <c:v>Webcam</c:v>
                </c:pt>
                <c:pt idx="7">
                  <c:v>Tablet</c:v>
                </c:pt>
              </c:strCache>
            </c:strRef>
          </c:cat>
          <c:val>
            <c:numRef>
              <c:f>Analysis!$B$12:$B$19</c:f>
              <c:numCache>
                <c:formatCode>General</c:formatCode>
                <c:ptCount val="8"/>
                <c:pt idx="0">
                  <c:v>15300</c:v>
                </c:pt>
                <c:pt idx="1">
                  <c:v>6720</c:v>
                </c:pt>
                <c:pt idx="2">
                  <c:v>1845</c:v>
                </c:pt>
                <c:pt idx="3">
                  <c:v>2075</c:v>
                </c:pt>
                <c:pt idx="4">
                  <c:v>3075</c:v>
                </c:pt>
                <c:pt idx="5">
                  <c:v>4480</c:v>
                </c:pt>
                <c:pt idx="6">
                  <c:v>2340</c:v>
                </c:pt>
                <c:pt idx="7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0-4589-B047-469FE5233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174496"/>
        <c:axId val="2021563920"/>
      </c:barChart>
      <c:catAx>
        <c:axId val="50174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63920"/>
        <c:crosses val="autoZero"/>
        <c:auto val="1"/>
        <c:lblAlgn val="ctr"/>
        <c:lblOffset val="100"/>
        <c:noMultiLvlLbl val="0"/>
      </c:catAx>
      <c:valAx>
        <c:axId val="20215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7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Analysis!$H$4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Analysis!$G$5:$G$8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Analysis!$H$5:$H$8</c:f>
              <c:numCache>
                <c:formatCode>General</c:formatCode>
                <c:ptCount val="4"/>
                <c:pt idx="0">
                  <c:v>3300</c:v>
                </c:pt>
                <c:pt idx="1">
                  <c:v>2635</c:v>
                </c:pt>
                <c:pt idx="2">
                  <c:v>225</c:v>
                </c:pt>
                <c:pt idx="3">
                  <c:v>2920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0-4778-936E-31DF62EBB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551200"/>
        <c:axId val="42252176"/>
      </c:lineChart>
      <c:catAx>
        <c:axId val="201955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52176"/>
        <c:crosses val="autoZero"/>
        <c:auto val="1"/>
        <c:lblAlgn val="ctr"/>
        <c:lblOffset val="100"/>
        <c:noMultiLvlLbl val="0"/>
      </c:catAx>
      <c:valAx>
        <c:axId val="4225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55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Analysis!$E$4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13-40A8-AF93-3F8980E028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13-40A8-AF93-3F8980E028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13-40A8-AF93-3F8980E028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13-40A8-AF93-3F8980E028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13-40A8-AF93-3F8980E028CE}"/>
              </c:ext>
            </c:extLst>
          </c:dPt>
          <c:cat>
            <c:strRef>
              <c:f>Analysis!$D$5:$D$9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Analysis!$E$5:$E$9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F1E-84C7-8D910FE79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Analysis!$E$12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Analysis!$D$13:$D$20</c:f>
              <c:strCache>
                <c:ptCount val="8"/>
                <c:pt idx="0">
                  <c:v>Dilusha</c:v>
                </c:pt>
                <c:pt idx="1">
                  <c:v>Sarath</c:v>
                </c:pt>
                <c:pt idx="2">
                  <c:v>Minol</c:v>
                </c:pt>
                <c:pt idx="3">
                  <c:v>Enul</c:v>
                </c:pt>
                <c:pt idx="4">
                  <c:v>Dasun</c:v>
                </c:pt>
                <c:pt idx="5">
                  <c:v>Senuri</c:v>
                </c:pt>
                <c:pt idx="6">
                  <c:v>Devid</c:v>
                </c:pt>
                <c:pt idx="7">
                  <c:v>Oshada</c:v>
                </c:pt>
              </c:strCache>
            </c:strRef>
          </c:cat>
          <c:val>
            <c:numRef>
              <c:f>Analysis!$E$13:$E$20</c:f>
              <c:numCache>
                <c:formatCode>General</c:formatCode>
                <c:ptCount val="8"/>
                <c:pt idx="0">
                  <c:v>7595</c:v>
                </c:pt>
                <c:pt idx="1">
                  <c:v>5620</c:v>
                </c:pt>
                <c:pt idx="2">
                  <c:v>4470</c:v>
                </c:pt>
                <c:pt idx="3">
                  <c:v>5130</c:v>
                </c:pt>
                <c:pt idx="4">
                  <c:v>4450</c:v>
                </c:pt>
                <c:pt idx="5">
                  <c:v>4120</c:v>
                </c:pt>
                <c:pt idx="6">
                  <c:v>6235</c:v>
                </c:pt>
                <c:pt idx="7">
                  <c:v>7665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7C-4825-97BB-BB002FF2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52432"/>
        <c:axId val="42236336"/>
      </c:barChart>
      <c:catAx>
        <c:axId val="3515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36336"/>
        <c:crosses val="autoZero"/>
        <c:auto val="1"/>
        <c:lblAlgn val="ctr"/>
        <c:lblOffset val="100"/>
        <c:noMultiLvlLbl val="0"/>
      </c:catAx>
      <c:valAx>
        <c:axId val="422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5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1503</xdr:colOff>
      <xdr:row>2</xdr:row>
      <xdr:rowOff>2919</xdr:rowOff>
    </xdr:from>
    <xdr:to>
      <xdr:col>17</xdr:col>
      <xdr:colOff>316464</xdr:colOff>
      <xdr:row>17</xdr:row>
      <xdr:rowOff>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F24B5-F3A9-72DF-37F6-92C7AE0B4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-1</xdr:colOff>
      <xdr:row>18</xdr:row>
      <xdr:rowOff>174811</xdr:rowOff>
    </xdr:from>
    <xdr:to>
      <xdr:col>17</xdr:col>
      <xdr:colOff>283882</xdr:colOff>
      <xdr:row>34</xdr:row>
      <xdr:rowOff>49306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C936C0-8A22-A883-2019-7D47133A8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14940</xdr:colOff>
      <xdr:row>35</xdr:row>
      <xdr:rowOff>174810</xdr:rowOff>
    </xdr:from>
    <xdr:to>
      <xdr:col>17</xdr:col>
      <xdr:colOff>298823</xdr:colOff>
      <xdr:row>51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7A3666-066E-7572-4127-8F423BD41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612587</xdr:colOff>
      <xdr:row>2</xdr:row>
      <xdr:rowOff>8610</xdr:rowOff>
    </xdr:from>
    <xdr:to>
      <xdr:col>26</xdr:col>
      <xdr:colOff>329045</xdr:colOff>
      <xdr:row>16</xdr:row>
      <xdr:rowOff>92430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31182A-1098-F984-B7EC-17D67F961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770</xdr:colOff>
      <xdr:row>19</xdr:row>
      <xdr:rowOff>4167</xdr:rowOff>
    </xdr:from>
    <xdr:to>
      <xdr:col>26</xdr:col>
      <xdr:colOff>286836</xdr:colOff>
      <xdr:row>33</xdr:row>
      <xdr:rowOff>171844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1519A-B75F-8C31-2FDD-5573375168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14" dataDxfId="13" tableBorderDxfId="12">
  <autoFilter ref="A1:K51" xr:uid="{56EF8F25-73E6-4863-9BA8-DBE529445E76}"/>
  <tableColumns count="11">
    <tableColumn id="1" xr3:uid="{0FA6D7FC-4E67-4EA5-9546-6B6D0E9C6569}" name="Order ID" dataDxfId="11"/>
    <tableColumn id="2" xr3:uid="{49C83AEB-0A78-434C-A5AF-129CB44E291A}" name="Date" dataDxfId="10"/>
    <tableColumn id="3" xr3:uid="{77B6507D-4D2A-4056-8388-7FED18A23295}" name="Customer" dataDxfId="9"/>
    <tableColumn id="4" xr3:uid="{AFD53509-289A-4831-855B-2A02B6D82CEA}" name="Region" dataDxfId="8"/>
    <tableColumn id="5" xr3:uid="{76559D00-BEC6-4BD5-B7BA-2D231E10DCAF}" name="Salesperson" dataDxfId="7"/>
    <tableColumn id="6" xr3:uid="{AA75DE1C-08E9-4A97-8CDF-8F4A1532ED73}" name="Product" dataDxfId="6"/>
    <tableColumn id="7" xr3:uid="{7556264E-3B32-45DD-92F3-5F26126EFE14}" name="Category" dataDxfId="5"/>
    <tableColumn id="8" xr3:uid="{196A2CEA-D321-4539-B8DA-6BB0190659C9}" name="Quantity" dataDxfId="4"/>
    <tableColumn id="9" xr3:uid="{6639D84B-5F16-4FE4-87E1-AFE4A47433BE}" name="Unit Price" dataDxfId="3"/>
    <tableColumn id="10" xr3:uid="{23D6942E-98A1-4E2B-915C-4D410E731B59}" name="Total Sales" dataDxfId="2">
      <calculatedColumnFormula>SalesTable[[#This Row],[Quantity]]*SalesTable[[#This Row],[Unit Price]]</calculatedColumnFormula>
    </tableColumn>
    <tableColumn id="11" xr3:uid="{F68FB0F3-2D52-4A36-BD6B-029D6BB71D3C}" name="Payment Meth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B2:O8"/>
  <sheetViews>
    <sheetView tabSelected="1" zoomScaleNormal="100" workbookViewId="0">
      <selection activeCell="B7" sqref="B7:C8"/>
    </sheetView>
  </sheetViews>
  <sheetFormatPr defaultRowHeight="14.4" x14ac:dyDescent="0.3"/>
  <sheetData>
    <row r="2" spans="2:15" ht="25.8" x14ac:dyDescent="0.5">
      <c r="B2" s="15" t="s">
        <v>145</v>
      </c>
      <c r="C2" s="15"/>
      <c r="D2" s="15"/>
      <c r="E2" s="15"/>
      <c r="F2" s="15"/>
      <c r="G2" s="15"/>
      <c r="H2" s="15"/>
    </row>
    <row r="3" spans="2:15" ht="21" x14ac:dyDescent="0.4">
      <c r="B3" s="16" t="s">
        <v>147</v>
      </c>
      <c r="C3" s="16"/>
      <c r="D3" s="16"/>
      <c r="E3" s="16"/>
      <c r="F3" s="16"/>
      <c r="G3" s="16"/>
      <c r="H3" s="16"/>
    </row>
    <row r="4" spans="2:15" ht="15.6" x14ac:dyDescent="0.3">
      <c r="B4" s="17" t="s">
        <v>146</v>
      </c>
      <c r="C4" s="17"/>
      <c r="D4" s="17"/>
      <c r="E4" s="17"/>
      <c r="F4" s="17"/>
      <c r="G4" s="17"/>
      <c r="H4" s="17"/>
    </row>
    <row r="6" spans="2:15" x14ac:dyDescent="0.3">
      <c r="B6" s="20" t="s">
        <v>148</v>
      </c>
      <c r="C6" s="20"/>
      <c r="D6" s="18"/>
      <c r="E6" s="22" t="s">
        <v>149</v>
      </c>
      <c r="F6" s="23"/>
      <c r="H6" s="22" t="s">
        <v>150</v>
      </c>
      <c r="I6" s="23"/>
      <c r="K6" s="22" t="s">
        <v>151</v>
      </c>
      <c r="L6" s="23"/>
      <c r="N6" s="22" t="s">
        <v>152</v>
      </c>
      <c r="O6" s="23"/>
    </row>
    <row r="7" spans="2:15" x14ac:dyDescent="0.3">
      <c r="B7" s="24">
        <f>Calculations!B2</f>
        <v>45285</v>
      </c>
      <c r="C7" s="24"/>
      <c r="D7" s="19"/>
      <c r="E7" s="21">
        <f>Calculations!B4</f>
        <v>50</v>
      </c>
      <c r="F7" s="21"/>
      <c r="H7" s="21">
        <f>Calculations!B3</f>
        <v>277</v>
      </c>
      <c r="I7" s="21"/>
      <c r="K7" s="21">
        <f>Calculations!B5</f>
        <v>485.89600000000007</v>
      </c>
      <c r="L7" s="21"/>
      <c r="N7" s="21">
        <f>Calculations!B6</f>
        <v>2550</v>
      </c>
      <c r="O7" s="21"/>
    </row>
    <row r="8" spans="2:15" x14ac:dyDescent="0.3">
      <c r="B8" s="24"/>
      <c r="C8" s="24"/>
      <c r="E8" s="21"/>
      <c r="F8" s="21"/>
      <c r="H8" s="21"/>
      <c r="I8" s="21"/>
      <c r="K8" s="21"/>
      <c r="L8" s="21"/>
      <c r="N8" s="21"/>
      <c r="O8" s="21"/>
    </row>
  </sheetData>
  <mergeCells count="13">
    <mergeCell ref="N6:O6"/>
    <mergeCell ref="N7:O8"/>
    <mergeCell ref="E6:F6"/>
    <mergeCell ref="E7:F8"/>
    <mergeCell ref="H6:I6"/>
    <mergeCell ref="H7:I8"/>
    <mergeCell ref="K6:L6"/>
    <mergeCell ref="K7:L8"/>
    <mergeCell ref="B2:H2"/>
    <mergeCell ref="B3:H3"/>
    <mergeCell ref="B4:H4"/>
    <mergeCell ref="B6:C6"/>
    <mergeCell ref="B7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:H20"/>
  <sheetViews>
    <sheetView zoomScale="56" workbookViewId="0">
      <selection activeCell="I36" sqref="I36"/>
    </sheetView>
  </sheetViews>
  <sheetFormatPr defaultRowHeight="14.4" x14ac:dyDescent="0.3"/>
  <cols>
    <col min="1" max="1" width="12.5546875" customWidth="1"/>
    <col min="2" max="2" width="12.109375" customWidth="1"/>
    <col min="4" max="4" width="11.44140625" customWidth="1"/>
    <col min="5" max="5" width="12.5546875" customWidth="1"/>
    <col min="7" max="7" width="11.88671875" customWidth="1"/>
    <col min="8" max="8" width="11.5546875" customWidth="1"/>
  </cols>
  <sheetData>
    <row r="1" spans="1:8" ht="23.4" x14ac:dyDescent="0.45">
      <c r="A1" s="14" t="s">
        <v>138</v>
      </c>
    </row>
    <row r="3" spans="1:8" x14ac:dyDescent="0.3">
      <c r="A3" s="11" t="s">
        <v>139</v>
      </c>
      <c r="D3" s="11" t="s">
        <v>142</v>
      </c>
      <c r="G3" s="11" t="s">
        <v>144</v>
      </c>
    </row>
    <row r="4" spans="1:8" x14ac:dyDescent="0.3">
      <c r="A4" t="s">
        <v>0</v>
      </c>
      <c r="B4" t="s">
        <v>47</v>
      </c>
      <c r="D4" t="s">
        <v>23</v>
      </c>
      <c r="E4" t="s">
        <v>47</v>
      </c>
      <c r="G4" t="s">
        <v>133</v>
      </c>
      <c r="H4" t="s">
        <v>47</v>
      </c>
    </row>
    <row r="5" spans="1:8" x14ac:dyDescent="0.3">
      <c r="A5" t="s">
        <v>1</v>
      </c>
      <c r="B5">
        <f>Calculations!E2</f>
        <v>12045</v>
      </c>
      <c r="D5" t="s">
        <v>24</v>
      </c>
      <c r="E5">
        <f>Calculations!N2</f>
        <v>22020</v>
      </c>
      <c r="G5" t="s">
        <v>134</v>
      </c>
      <c r="H5">
        <f>Calculations!Q2</f>
        <v>3300</v>
      </c>
    </row>
    <row r="6" spans="1:8" x14ac:dyDescent="0.3">
      <c r="A6" t="s">
        <v>2</v>
      </c>
      <c r="B6">
        <f>Calculations!E3</f>
        <v>9740</v>
      </c>
      <c r="D6" t="s">
        <v>25</v>
      </c>
      <c r="E6">
        <f>Calculations!N3</f>
        <v>6260</v>
      </c>
      <c r="G6" t="s">
        <v>135</v>
      </c>
      <c r="H6">
        <f>Calculations!Q3</f>
        <v>2635</v>
      </c>
    </row>
    <row r="7" spans="1:8" x14ac:dyDescent="0.3">
      <c r="A7" t="s">
        <v>3</v>
      </c>
      <c r="B7">
        <f>Calculations!E4</f>
        <v>10705</v>
      </c>
      <c r="D7" t="s">
        <v>26</v>
      </c>
      <c r="E7">
        <f>Calculations!N4</f>
        <v>3075</v>
      </c>
      <c r="G7" t="s">
        <v>136</v>
      </c>
      <c r="H7">
        <f>Calculations!Q4</f>
        <v>225</v>
      </c>
    </row>
    <row r="8" spans="1:8" x14ac:dyDescent="0.3">
      <c r="A8" t="s">
        <v>4</v>
      </c>
      <c r="B8">
        <f>Calculations!E5</f>
        <v>12795</v>
      </c>
      <c r="D8" t="s">
        <v>27</v>
      </c>
      <c r="E8">
        <f>Calculations!N5</f>
        <v>4480</v>
      </c>
      <c r="G8" t="s">
        <v>137</v>
      </c>
      <c r="H8">
        <f>Calculations!Q5</f>
        <v>2920</v>
      </c>
    </row>
    <row r="9" spans="1:8" x14ac:dyDescent="0.3">
      <c r="D9" t="s">
        <v>28</v>
      </c>
      <c r="E9">
        <f>Calculations!N6</f>
        <v>9450</v>
      </c>
    </row>
    <row r="10" spans="1:8" x14ac:dyDescent="0.3">
      <c r="A10" s="11" t="s">
        <v>140</v>
      </c>
    </row>
    <row r="11" spans="1:8" x14ac:dyDescent="0.3">
      <c r="A11" t="s">
        <v>14</v>
      </c>
      <c r="B11" t="s">
        <v>141</v>
      </c>
      <c r="D11" s="11" t="s">
        <v>143</v>
      </c>
    </row>
    <row r="12" spans="1:8" x14ac:dyDescent="0.3">
      <c r="A12" t="s">
        <v>15</v>
      </c>
      <c r="B12">
        <f>Calculations!K2</f>
        <v>15300</v>
      </c>
      <c r="D12" t="s">
        <v>5</v>
      </c>
      <c r="E12" t="s">
        <v>47</v>
      </c>
    </row>
    <row r="13" spans="1:8" x14ac:dyDescent="0.3">
      <c r="A13" t="s">
        <v>16</v>
      </c>
      <c r="B13">
        <f>Calculations!K3</f>
        <v>6720</v>
      </c>
      <c r="D13" t="s">
        <v>6</v>
      </c>
      <c r="E13">
        <f>Calculations!H2</f>
        <v>7595</v>
      </c>
    </row>
    <row r="14" spans="1:8" x14ac:dyDescent="0.3">
      <c r="A14" t="s">
        <v>17</v>
      </c>
      <c r="B14">
        <f>Calculations!K4</f>
        <v>1845</v>
      </c>
      <c r="D14" t="s">
        <v>7</v>
      </c>
      <c r="E14">
        <f>Calculations!H3</f>
        <v>5620</v>
      </c>
    </row>
    <row r="15" spans="1:8" x14ac:dyDescent="0.3">
      <c r="A15" t="s">
        <v>18</v>
      </c>
      <c r="B15">
        <f>Calculations!K5</f>
        <v>2075</v>
      </c>
      <c r="D15" t="s">
        <v>8</v>
      </c>
      <c r="E15">
        <f>Calculations!H4</f>
        <v>4470</v>
      </c>
    </row>
    <row r="16" spans="1:8" x14ac:dyDescent="0.3">
      <c r="A16" t="s">
        <v>19</v>
      </c>
      <c r="B16">
        <f>Calculations!K6</f>
        <v>3075</v>
      </c>
      <c r="D16" t="s">
        <v>9</v>
      </c>
      <c r="E16">
        <f>Calculations!H5</f>
        <v>5130</v>
      </c>
    </row>
    <row r="17" spans="1:5" x14ac:dyDescent="0.3">
      <c r="A17" t="s">
        <v>20</v>
      </c>
      <c r="B17">
        <f>Calculations!K7</f>
        <v>4480</v>
      </c>
      <c r="D17" t="s">
        <v>10</v>
      </c>
      <c r="E17">
        <f>Calculations!H6</f>
        <v>4450</v>
      </c>
    </row>
    <row r="18" spans="1:5" x14ac:dyDescent="0.3">
      <c r="A18" t="s">
        <v>21</v>
      </c>
      <c r="B18">
        <f>Calculations!K8</f>
        <v>2340</v>
      </c>
      <c r="D18" t="s">
        <v>11</v>
      </c>
      <c r="E18">
        <f>Calculations!H7</f>
        <v>4120</v>
      </c>
    </row>
    <row r="19" spans="1:5" x14ac:dyDescent="0.3">
      <c r="A19" t="s">
        <v>22</v>
      </c>
      <c r="B19">
        <f>Calculations!K9</f>
        <v>9450</v>
      </c>
      <c r="D19" t="s">
        <v>12</v>
      </c>
      <c r="E19">
        <f>Calculations!H8</f>
        <v>6235</v>
      </c>
    </row>
    <row r="20" spans="1:5" x14ac:dyDescent="0.3">
      <c r="D20" t="s">
        <v>13</v>
      </c>
      <c r="E20">
        <f>Calculations!H9</f>
        <v>7665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Q9"/>
  <sheetViews>
    <sheetView zoomScaleNormal="100" workbookViewId="0">
      <selection activeCell="B3" sqref="B3"/>
    </sheetView>
  </sheetViews>
  <sheetFormatPr defaultRowHeight="14.4" x14ac:dyDescent="0.3"/>
  <cols>
    <col min="1" max="1" width="17.77734375" customWidth="1"/>
    <col min="2" max="2" width="12.44140625" bestFit="1" customWidth="1"/>
    <col min="7" max="7" width="11" customWidth="1"/>
    <col min="10" max="10" width="12" customWidth="1"/>
    <col min="13" max="13" width="12.109375" customWidth="1"/>
    <col min="14" max="14" width="10.6640625" customWidth="1"/>
  </cols>
  <sheetData>
    <row r="1" spans="1:17" x14ac:dyDescent="0.3">
      <c r="A1" s="11" t="s">
        <v>125</v>
      </c>
      <c r="B1" s="11" t="s">
        <v>126</v>
      </c>
      <c r="D1" s="11" t="s">
        <v>0</v>
      </c>
      <c r="E1" s="11" t="s">
        <v>132</v>
      </c>
      <c r="G1" s="11" t="s">
        <v>5</v>
      </c>
      <c r="H1" s="11" t="s">
        <v>47</v>
      </c>
      <c r="J1" s="11" t="s">
        <v>14</v>
      </c>
      <c r="K1" s="11" t="s">
        <v>47</v>
      </c>
      <c r="M1" s="11" t="s">
        <v>23</v>
      </c>
      <c r="N1" s="11" t="s">
        <v>47</v>
      </c>
      <c r="P1" s="11" t="s">
        <v>133</v>
      </c>
      <c r="Q1" s="11" t="s">
        <v>132</v>
      </c>
    </row>
    <row r="2" spans="1:17" x14ac:dyDescent="0.3">
      <c r="A2" t="s">
        <v>47</v>
      </c>
      <c r="B2" s="12">
        <f>SUM(SalesTable[Total Sales])</f>
        <v>45285</v>
      </c>
      <c r="D2" t="s">
        <v>1</v>
      </c>
      <c r="E2">
        <f>SUMIF(SalesTable[Region],D2,SalesTable[Total Sales])</f>
        <v>12045</v>
      </c>
      <c r="G2" t="s">
        <v>6</v>
      </c>
      <c r="H2">
        <f>SUMIF(SalesTable[Salesperson],G2,SalesTable[Total Sales])</f>
        <v>7595</v>
      </c>
      <c r="J2" t="s">
        <v>15</v>
      </c>
      <c r="K2">
        <f>SUMIF(SalesTable[Product],J2,SalesTable[Total Sales])</f>
        <v>15300</v>
      </c>
      <c r="M2" t="s">
        <v>24</v>
      </c>
      <c r="N2">
        <f>SUMIF(SalesTable[Category],M2,SalesTable[Total Sales])</f>
        <v>22020</v>
      </c>
      <c r="P2" t="s">
        <v>134</v>
      </c>
      <c r="Q2">
        <f>SUMIFS(SalesTable[Total Sales],SalesTable[Date],"&gt;="&amp;DATE(2026,1,1),SalesTable[Date],"&lt;"&amp;DATE(2026,2,1))</f>
        <v>3300</v>
      </c>
    </row>
    <row r="3" spans="1:17" x14ac:dyDescent="0.3">
      <c r="A3" t="s">
        <v>127</v>
      </c>
      <c r="B3" s="13">
        <f>SUM(SalesTable[Quantity])</f>
        <v>277</v>
      </c>
      <c r="D3" t="s">
        <v>2</v>
      </c>
      <c r="E3">
        <f>SUMIF(SalesTable[Region],D3,SalesTable[Total Sales])</f>
        <v>9740</v>
      </c>
      <c r="G3" t="s">
        <v>7</v>
      </c>
      <c r="H3">
        <f>SUMIF(SalesTable[Salesperson],G3,SalesTable[Total Sales])</f>
        <v>5620</v>
      </c>
      <c r="J3" t="s">
        <v>16</v>
      </c>
      <c r="K3">
        <f>SUMIF(SalesTable[Product],J3,SalesTable[Total Sales])</f>
        <v>6720</v>
      </c>
      <c r="M3" t="s">
        <v>25</v>
      </c>
      <c r="N3">
        <f>SUMIF(SalesTable[Category],M3,SalesTable[Total Sales])</f>
        <v>6260</v>
      </c>
      <c r="P3" t="s">
        <v>135</v>
      </c>
      <c r="Q3">
        <f>SUMIFS(SalesTable[Total Sales],SalesTable[Date],"&gt;="&amp;DATE(2026,2,1),SalesTable[Date],"&lt;"&amp;DATE(2026,3,1))</f>
        <v>2635</v>
      </c>
    </row>
    <row r="4" spans="1:17" x14ac:dyDescent="0.3">
      <c r="A4" t="s">
        <v>128</v>
      </c>
      <c r="B4">
        <f>COUNTA(SalesTable[Order ID])</f>
        <v>50</v>
      </c>
      <c r="D4" t="s">
        <v>3</v>
      </c>
      <c r="E4">
        <f>SUMIF(SalesTable[Region],D4,SalesTable[Total Sales])</f>
        <v>10705</v>
      </c>
      <c r="G4" t="s">
        <v>8</v>
      </c>
      <c r="H4">
        <f>SUMIF(SalesTable[Salesperson],G4,SalesTable[Total Sales])</f>
        <v>4470</v>
      </c>
      <c r="J4" t="s">
        <v>17</v>
      </c>
      <c r="K4">
        <f>SUMIF(SalesTable[Product],J4,SalesTable[Total Sales])</f>
        <v>1845</v>
      </c>
      <c r="M4" t="s">
        <v>26</v>
      </c>
      <c r="N4">
        <f>SUMIF(SalesTable[Category],M4,SalesTable[Total Sales])</f>
        <v>3075</v>
      </c>
      <c r="P4" t="s">
        <v>136</v>
      </c>
      <c r="Q4">
        <f>SUMIFS(SalesTable[Total Sales],SalesTable[Date],"&gt;="&amp;DATE(2026,3,1),SalesTable[Date],"&lt;"&amp;DATE(2026,4,1))</f>
        <v>225</v>
      </c>
    </row>
    <row r="5" spans="1:17" x14ac:dyDescent="0.3">
      <c r="A5" t="s">
        <v>129</v>
      </c>
      <c r="B5">
        <f>AVEDEV(SalesTable[Total Sales])</f>
        <v>485.89600000000007</v>
      </c>
      <c r="D5" t="s">
        <v>4</v>
      </c>
      <c r="E5">
        <f>SUMIF(SalesTable[Region],D5,SalesTable[Total Sales])</f>
        <v>12795</v>
      </c>
      <c r="G5" t="s">
        <v>9</v>
      </c>
      <c r="H5">
        <f>SUMIF(SalesTable[Salesperson],G5,SalesTable[Total Sales])</f>
        <v>5130</v>
      </c>
      <c r="J5" t="s">
        <v>18</v>
      </c>
      <c r="K5">
        <f>SUMIF(SalesTable[Product],J5,SalesTable[Total Sales])</f>
        <v>2075</v>
      </c>
      <c r="M5" t="s">
        <v>27</v>
      </c>
      <c r="N5">
        <f>SUMIF(SalesTable[Category],M5,SalesTable[Total Sales])</f>
        <v>4480</v>
      </c>
      <c r="P5" t="s">
        <v>137</v>
      </c>
      <c r="Q5">
        <f>SUMIFS(SalesTable[Total Sales],SalesTable[Date],"&gt;="&amp;DATE(2026,4,1),SalesTable[Date],"&lt;"&amp;DATE(2026,5,1))</f>
        <v>2920</v>
      </c>
    </row>
    <row r="6" spans="1:17" x14ac:dyDescent="0.3">
      <c r="A6" t="s">
        <v>130</v>
      </c>
      <c r="B6">
        <f>MAX(SalesTable[Total Sales])</f>
        <v>2550</v>
      </c>
      <c r="G6" t="s">
        <v>10</v>
      </c>
      <c r="H6">
        <f>SUMIF(SalesTable[Salesperson],G6,SalesTable[Total Sales])</f>
        <v>4450</v>
      </c>
      <c r="J6" t="s">
        <v>19</v>
      </c>
      <c r="K6">
        <f>SUMIF(SalesTable[Product],J6,SalesTable[Total Sales])</f>
        <v>3075</v>
      </c>
      <c r="M6" t="s">
        <v>28</v>
      </c>
      <c r="N6">
        <f>SUMIF(SalesTable[Category],M6,SalesTable[Total Sales])</f>
        <v>9450</v>
      </c>
    </row>
    <row r="7" spans="1:17" x14ac:dyDescent="0.3">
      <c r="A7" t="s">
        <v>131</v>
      </c>
      <c r="B7">
        <f>MIN(SalesTable[Total Sales])</f>
        <v>200</v>
      </c>
      <c r="G7" t="s">
        <v>11</v>
      </c>
      <c r="H7">
        <f>SUMIF(SalesTable[Salesperson],G7,SalesTable[Total Sales])</f>
        <v>4120</v>
      </c>
      <c r="J7" t="s">
        <v>20</v>
      </c>
      <c r="K7">
        <f>SUMIF(SalesTable[Product],J7,SalesTable[Total Sales])</f>
        <v>4480</v>
      </c>
    </row>
    <row r="8" spans="1:17" x14ac:dyDescent="0.3">
      <c r="G8" t="s">
        <v>12</v>
      </c>
      <c r="H8">
        <f>SUMIF(SalesTable[Salesperson],G8,SalesTable[Total Sales])</f>
        <v>6235</v>
      </c>
      <c r="J8" t="s">
        <v>21</v>
      </c>
      <c r="K8">
        <f>SUMIF(SalesTable[Product],J8,SalesTable[Total Sales])</f>
        <v>2340</v>
      </c>
    </row>
    <row r="9" spans="1:17" x14ac:dyDescent="0.3">
      <c r="G9" t="s">
        <v>13</v>
      </c>
      <c r="H9">
        <f>SUMIF(SalesTable[Salesperson],G9,SalesTable[Total Sales])</f>
        <v>7665</v>
      </c>
      <c r="J9" t="s">
        <v>22</v>
      </c>
      <c r="K9">
        <f>SUMIF(SalesTable[Product],J9,SalesTable[Total Sales])</f>
        <v>9450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K51"/>
  <sheetViews>
    <sheetView topLeftCell="A27" zoomScale="70" zoomScaleNormal="100" workbookViewId="0">
      <selection activeCell="B2" sqref="B2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1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1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</row>
    <row r="3" spans="1:11" x14ac:dyDescent="0.3">
      <c r="A3" s="4" t="s">
        <v>49</v>
      </c>
      <c r="B3" s="3">
        <v>46054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1" x14ac:dyDescent="0.3">
      <c r="A4" s="2" t="s">
        <v>50</v>
      </c>
      <c r="B4" s="1">
        <v>46082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1" x14ac:dyDescent="0.3">
      <c r="A5" s="4" t="s">
        <v>51</v>
      </c>
      <c r="B5" s="3">
        <v>46143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1" x14ac:dyDescent="0.3">
      <c r="A6" s="2" t="s">
        <v>52</v>
      </c>
      <c r="B6" s="1">
        <v>46174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1" x14ac:dyDescent="0.3">
      <c r="A7" s="4" t="s">
        <v>53</v>
      </c>
      <c r="B7" s="3">
        <v>46235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1" x14ac:dyDescent="0.3">
      <c r="A8" s="2" t="s">
        <v>54</v>
      </c>
      <c r="B8" s="1">
        <v>46296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1" x14ac:dyDescent="0.3">
      <c r="A9" s="4" t="s">
        <v>55</v>
      </c>
      <c r="B9" s="3">
        <v>46357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1" x14ac:dyDescent="0.3">
      <c r="A10" s="2" t="s">
        <v>56</v>
      </c>
      <c r="B10" s="1" t="s">
        <v>57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1" x14ac:dyDescent="0.3">
      <c r="A11" s="4" t="s">
        <v>58</v>
      </c>
      <c r="B11" s="3" t="s">
        <v>59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1" x14ac:dyDescent="0.3">
      <c r="A12" s="2" t="s">
        <v>60</v>
      </c>
      <c r="B12" s="1" t="s">
        <v>61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1" x14ac:dyDescent="0.3">
      <c r="A13" s="4" t="s">
        <v>62</v>
      </c>
      <c r="B13" s="3" t="s">
        <v>63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1" x14ac:dyDescent="0.3">
      <c r="A14" s="2" t="s">
        <v>64</v>
      </c>
      <c r="B14" s="1" t="s">
        <v>65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1" x14ac:dyDescent="0.3">
      <c r="A15" s="4" t="s">
        <v>66</v>
      </c>
      <c r="B15" s="3" t="s">
        <v>67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1" x14ac:dyDescent="0.3">
      <c r="A16" s="2" t="s">
        <v>68</v>
      </c>
      <c r="B16" s="1" t="s">
        <v>69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70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71</v>
      </c>
      <c r="B18" s="1">
        <v>46114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72</v>
      </c>
      <c r="B19" s="3">
        <v>46175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73</v>
      </c>
      <c r="B20" s="1">
        <v>46236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74</v>
      </c>
      <c r="B21" s="3">
        <v>46297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75</v>
      </c>
      <c r="B22" s="1">
        <v>46358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76</v>
      </c>
      <c r="B23" s="3" t="s">
        <v>77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78</v>
      </c>
      <c r="B24" s="1" t="s">
        <v>79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80</v>
      </c>
      <c r="B25" s="3" t="s">
        <v>81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82</v>
      </c>
      <c r="B26" s="1" t="s">
        <v>83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84</v>
      </c>
      <c r="B27" s="3" t="s">
        <v>85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86</v>
      </c>
      <c r="B28" s="1" t="s">
        <v>87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88</v>
      </c>
      <c r="B29" s="3" t="s">
        <v>89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90</v>
      </c>
      <c r="B30" s="1" t="s">
        <v>91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92</v>
      </c>
      <c r="B31" s="3">
        <v>46056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93</v>
      </c>
      <c r="B32" s="1">
        <v>46115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94</v>
      </c>
      <c r="B33" s="3">
        <v>46176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95</v>
      </c>
      <c r="B34" s="1">
        <v>46237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96</v>
      </c>
      <c r="B35" s="3">
        <v>46298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97</v>
      </c>
      <c r="B36" s="1">
        <v>46359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98</v>
      </c>
      <c r="B37" s="3" t="s">
        <v>99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100</v>
      </c>
      <c r="B38" s="1" t="s">
        <v>101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102</v>
      </c>
      <c r="B39" s="3" t="s">
        <v>103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104</v>
      </c>
      <c r="B40" s="1" t="s">
        <v>105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106</v>
      </c>
      <c r="B41" s="3" t="s">
        <v>107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108</v>
      </c>
      <c r="B42" s="1" t="s">
        <v>109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110</v>
      </c>
      <c r="B43" s="3" t="s">
        <v>111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112</v>
      </c>
      <c r="B44" s="1" t="s">
        <v>113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114</v>
      </c>
      <c r="B45" s="3" t="s">
        <v>115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116</v>
      </c>
      <c r="B46" s="1">
        <v>46026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117</v>
      </c>
      <c r="B47" s="3">
        <v>46146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118</v>
      </c>
      <c r="B48" s="1">
        <v>46299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119</v>
      </c>
      <c r="B49" s="3" t="s">
        <v>120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121</v>
      </c>
      <c r="B50" s="1" t="s">
        <v>122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123</v>
      </c>
      <c r="B51" s="3" t="s">
        <v>124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0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F9"/>
  <sheetViews>
    <sheetView zoomScale="88" zoomScaleNormal="175" workbookViewId="0">
      <selection activeCell="D2" sqref="D2:D6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</cols>
  <sheetData>
    <row r="1" spans="1:6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</row>
    <row r="2" spans="1:6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</row>
    <row r="3" spans="1:6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</row>
    <row r="4" spans="1:6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</row>
    <row r="5" spans="1:6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</row>
    <row r="6" spans="1:6" x14ac:dyDescent="0.3">
      <c r="B6" t="s">
        <v>10</v>
      </c>
      <c r="C6" t="s">
        <v>19</v>
      </c>
      <c r="D6" t="s">
        <v>28</v>
      </c>
      <c r="F6" t="s">
        <v>39</v>
      </c>
    </row>
    <row r="7" spans="1:6" x14ac:dyDescent="0.3">
      <c r="B7" t="s">
        <v>11</v>
      </c>
      <c r="C7" t="s">
        <v>20</v>
      </c>
      <c r="F7" t="s">
        <v>40</v>
      </c>
    </row>
    <row r="8" spans="1:6" x14ac:dyDescent="0.3">
      <c r="B8" t="s">
        <v>12</v>
      </c>
      <c r="C8" t="s">
        <v>21</v>
      </c>
      <c r="F8" t="s">
        <v>41</v>
      </c>
    </row>
    <row r="9" spans="1:6" x14ac:dyDescent="0.3">
      <c r="B9" t="s">
        <v>13</v>
      </c>
      <c r="C9" t="s">
        <v>22</v>
      </c>
      <c r="F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Calculations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2026-07-31T18:26:46Z</dcterms:modified>
</cp:coreProperties>
</file>