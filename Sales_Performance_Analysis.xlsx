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-Projects\sales-performance-analysis-excel\"/>
    </mc:Choice>
  </mc:AlternateContent>
  <xr:revisionPtr revIDLastSave="0" documentId="13_ncr:1_{D600EC3A-E168-4CDB-B6CB-2D9151059E19}" xr6:coauthVersionLast="47" xr6:coauthVersionMax="47" xr10:uidLastSave="{00000000-0000-0000-0000-000000000000}"/>
  <bookViews>
    <workbookView xWindow="-96" yWindow="0" windowWidth="11712" windowHeight="12336" firstSheet="2" activeTab="4" xr2:uid="{B7497976-6BF0-42CC-AA8A-1BF9F284EB1D}"/>
  </bookViews>
  <sheets>
    <sheet name="Dashboard" sheetId="1" r:id="rId1"/>
    <sheet name="Analysis" sheetId="2" r:id="rId2"/>
    <sheet name="Calculations" sheetId="3" r:id="rId3"/>
    <sheet name="Sales Data" sheetId="4" r:id="rId4"/>
    <sheet name="Lis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</calcChain>
</file>

<file path=xl/sharedStrings.xml><?xml version="1.0" encoding="utf-8"?>
<sst xmlns="http://schemas.openxmlformats.org/spreadsheetml/2006/main" count="389" uniqueCount="132">
  <si>
    <t>Region</t>
  </si>
  <si>
    <t>North</t>
  </si>
  <si>
    <t>South</t>
  </si>
  <si>
    <t>East</t>
  </si>
  <si>
    <t>West</t>
  </si>
  <si>
    <t>Salesperson</t>
  </si>
  <si>
    <t>Dilusha</t>
  </si>
  <si>
    <t>Sarath</t>
  </si>
  <si>
    <t>Minol</t>
  </si>
  <si>
    <t>Enul</t>
  </si>
  <si>
    <t>Dasun</t>
  </si>
  <si>
    <t>Senuri</t>
  </si>
  <si>
    <t>Devid</t>
  </si>
  <si>
    <t>Oshada</t>
  </si>
  <si>
    <t>Product</t>
  </si>
  <si>
    <t>Laptop</t>
  </si>
  <si>
    <t>Monitor</t>
  </si>
  <si>
    <t>Keyboard</t>
  </si>
  <si>
    <t>Mouse</t>
  </si>
  <si>
    <t>Headphones</t>
  </si>
  <si>
    <t>Printer</t>
  </si>
  <si>
    <t>Webcam</t>
  </si>
  <si>
    <t>Tablet</t>
  </si>
  <si>
    <t>Category</t>
  </si>
  <si>
    <t>Computers</t>
  </si>
  <si>
    <t>Accessories</t>
  </si>
  <si>
    <t>Audio</t>
  </si>
  <si>
    <t>Office</t>
  </si>
  <si>
    <t>Mobile</t>
  </si>
  <si>
    <t>Payment Method</t>
  </si>
  <si>
    <t>Cash</t>
  </si>
  <si>
    <t>Credit Card</t>
  </si>
  <si>
    <t>Debit Card</t>
  </si>
  <si>
    <t>Bank Transfer</t>
  </si>
  <si>
    <t>Customer</t>
  </si>
  <si>
    <t>ABC Technologies</t>
  </si>
  <si>
    <t>Global Solutions</t>
  </si>
  <si>
    <t>Smart Education</t>
  </si>
  <si>
    <t>Prime Holdings</t>
  </si>
  <si>
    <t>Lanka Enterprises</t>
  </si>
  <si>
    <t>TechWorld</t>
  </si>
  <si>
    <t>Future Systems</t>
  </si>
  <si>
    <t>Digital Lanka</t>
  </si>
  <si>
    <t>Order ID</t>
  </si>
  <si>
    <t>Date</t>
  </si>
  <si>
    <t>Quantity</t>
  </si>
  <si>
    <t>Unit Price</t>
  </si>
  <si>
    <t>Total Sales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</si>
  <si>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</si>
  <si>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</si>
  <si>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</si>
  <si>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</si>
  <si>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</si>
  <si>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</si>
  <si>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</si>
  <si>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</si>
  <si>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</si>
  <si>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15/01/2026</t>
  </si>
  <si>
    <t>ORD010</t>
  </si>
  <si>
    <t>18/01/2026</t>
  </si>
  <si>
    <t>ORD011</t>
  </si>
  <si>
    <t>20/01/2026</t>
  </si>
  <si>
    <t>ORD012</t>
  </si>
  <si>
    <t>22/01/2026</t>
  </si>
  <si>
    <t>ORD013</t>
  </si>
  <si>
    <t>25/01/2026</t>
  </si>
  <si>
    <t>ORD014</t>
  </si>
  <si>
    <t>28/01/2026</t>
  </si>
  <si>
    <t>ORD015</t>
  </si>
  <si>
    <t>30/01/2026</t>
  </si>
  <si>
    <t>ORD016</t>
  </si>
  <si>
    <t>ORD017</t>
  </si>
  <si>
    <t>ORD018</t>
  </si>
  <si>
    <t>ORD019</t>
  </si>
  <si>
    <t>ORD020</t>
  </si>
  <si>
    <t>ORD021</t>
  </si>
  <si>
    <t>ORD022</t>
  </si>
  <si>
    <t>14/02/2026</t>
  </si>
  <si>
    <t>ORD023</t>
  </si>
  <si>
    <t>16/02/2026</t>
  </si>
  <si>
    <t>ORD024</t>
  </si>
  <si>
    <t>18/02/2026</t>
  </si>
  <si>
    <t>ORD025</t>
  </si>
  <si>
    <t>20/02/2026</t>
  </si>
  <si>
    <t>ORD026</t>
  </si>
  <si>
    <t>22/02/2026</t>
  </si>
  <si>
    <t>ORD027</t>
  </si>
  <si>
    <t>24/02/2026</t>
  </si>
  <si>
    <t>ORD028</t>
  </si>
  <si>
    <t>26/02/2026</t>
  </si>
  <si>
    <t>ORD029</t>
  </si>
  <si>
    <t>28/02/2026</t>
  </si>
  <si>
    <t>ORD030</t>
  </si>
  <si>
    <t>ORD031</t>
  </si>
  <si>
    <t>ORD032</t>
  </si>
  <si>
    <t>ORD033</t>
  </si>
  <si>
    <t>ORD034</t>
  </si>
  <si>
    <t>ORD035</t>
  </si>
  <si>
    <t>ORD036</t>
  </si>
  <si>
    <t>14/03/2026</t>
  </si>
  <si>
    <t>ORD037</t>
  </si>
  <si>
    <t>16/03/2026</t>
  </si>
  <si>
    <t>ORD038</t>
  </si>
  <si>
    <t>18/03/2026</t>
  </si>
  <si>
    <t>ORD039</t>
  </si>
  <si>
    <t>20/03/2026</t>
  </si>
  <si>
    <t>ORD040</t>
  </si>
  <si>
    <t>22/03/2026</t>
  </si>
  <si>
    <t>ORD041</t>
  </si>
  <si>
    <t>24/03/2026</t>
  </si>
  <si>
    <t>ORD042</t>
  </si>
  <si>
    <t>26/03/2026</t>
  </si>
  <si>
    <t>ORD043</t>
  </si>
  <si>
    <t>28/03/2026</t>
  </si>
  <si>
    <t>ORD044</t>
  </si>
  <si>
    <t>30/03/2026</t>
  </si>
  <si>
    <t>ORD045</t>
  </si>
  <si>
    <t>ORD046</t>
  </si>
  <si>
    <t>ORD047</t>
  </si>
  <si>
    <t>ORD048</t>
  </si>
  <si>
    <t>15/04/2026</t>
  </si>
  <si>
    <t>ORD049</t>
  </si>
  <si>
    <t>20/04/2026</t>
  </si>
  <si>
    <t>ORD050</t>
  </si>
  <si>
    <t>25/04/2026</t>
  </si>
  <si>
    <t>Metric</t>
  </si>
  <si>
    <t>Value</t>
  </si>
  <si>
    <t>Total Quantity Sold</t>
  </si>
  <si>
    <t>Number of Orders</t>
  </si>
  <si>
    <t>Average Order Value</t>
  </si>
  <si>
    <t>Highest Sale</t>
  </si>
  <si>
    <t>Lowest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</si>
</sst>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LKR]\ #,##0.00;[Red][$LKR]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3" borderId="1" xfId="0" applyNumberFormat="1" applyFill="1" applyBorder="1" applyAlignment="1">
      <alignment horizontal="right"/>
    </xf>
    <xf numFmtId="0" fontId="0" fillId="3" borderId="1" xfId="0" applyFill="1" applyBorder="1"/>
    <xf numFmtId="14" fontId="0" fillId="0" borderId="1" xfId="0" applyNumberFormat="1" applyBorder="1" applyAlignment="1">
      <alignment horizontal="right"/>
    </xf>
    <xf numFmtId="0" fontId="0" fillId="0" borderId="1" xfId="0" applyBorder="1"/>
    <xf numFmtId="0" fontId="1" fillId="2" borderId="0" xfId="0" applyFont="1" applyFill="1"/>
    <xf numFmtId="14" fontId="1" fillId="2" borderId="0" xfId="0" applyNumberFormat="1" applyFont="1" applyFill="1"/>
    <xf numFmtId="164" fontId="0" fillId="3" borderId="1" xfId="0" applyNumberFormat="1" applyFill="1" applyBorder="1"/>
    <xf numFmtId="164" fontId="0" fillId="0" borderId="1" xfId="0" applyNumberFormat="1" applyBorder="1"/>
    <xf numFmtId="1" fontId="0" fillId="3" borderId="1" xfId="0" applyNumberFormat="1" applyFill="1" applyBorder="1"/>
    <xf numFmtId="1" fontId="0" fillId="0" borderId="1" xfId="0" applyNumberFormat="1" applyBorder="1"/>
    <xf numFmtId="0" fontId="2" fillId="0" borderId="0" xfId="0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LKR]\ #,##0.00;[Red][$LKR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LKR]\ #,##0.00;[Red][$LKR]\ 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EF8F25-73E6-4863-9BA8-DBE529445E76}" name="SalesTable" displayName="SalesTable" ref="A1:K51" totalsRowShown="0" headerRowDxfId="14" dataDxfId="13" tableBorderDxfId="12">
  <autoFilter ref="A1:K51" xr:uid="{56EF8F25-73E6-4863-9BA8-DBE529445E76}"/>
  <tableColumns count="11">
    <tableColumn id="1" xr3:uid="{0FA6D7FC-4E67-4EA5-9546-6B6D0E9C6569}" name="Order ID" dataDxfId="11"/>
    <tableColumn id="2" xr3:uid="{49C83AEB-0A78-434C-A5AF-129CB44E291A}" name="Date" dataDxfId="10"/>
    <tableColumn id="3" xr3:uid="{77B6507D-4D2A-4056-8388-7FED18A23295}" name="Customer" dataDxfId="9"/>
    <tableColumn id="4" xr3:uid="{AFD53509-289A-4831-855B-2A02B6D82CEA}" name="Region" dataDxfId="8"/>
    <tableColumn id="5" xr3:uid="{76559D00-BEC6-4BD5-B7BA-2D231E10DCAF}" name="Salesperson" dataDxfId="7"/>
    <tableColumn id="6" xr3:uid="{AA75DE1C-08E9-4A97-8CDF-8F4A1532ED73}" name="Product" dataDxfId="6"/>
    <tableColumn id="7" xr3:uid="{7556264E-3B32-45DD-92F3-5F26126EFE14}" name="Category" dataDxfId="5"/>
    <tableColumn id="8" xr3:uid="{196A2CEA-D321-4539-B8DA-6BB0190659C9}" name="Quantity" dataDxfId="4"/>
    <tableColumn id="9" xr3:uid="{6639D84B-5F16-4FE4-87E1-AFE4A47433BE}" name="Unit Price" dataDxfId="3"/>
    <tableColumn id="10" xr3:uid="{23D6942E-98A1-4E2B-915C-4D410E731B59}" name="Total Sales" dataDxfId="2">
      <calculatedColumnFormula>SalesTable[[#This Row],[Quantity]]*SalesTable[[#This Row],[Unit Price]]</calculatedColumnFormula>
    </tableColumn>
    <tableColumn id="11" xr3:uid="{F68FB0F3-2D52-4A36-BD6B-029D6BB71D3C}" name="Payment Metho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678CE-0F2F-4A54-9D61-992795E3777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9B18C-9F45-4B2D-B24C-4271EB14C90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D65C6-FEF1-4656-8613-EFBCAEDD2EBF}">
  <dimension ref="A1:B7"/>
  <sheetViews>
    <sheetView zoomScaleNormal="100" workbookViewId="0">
      <selection activeCell="B8" sqref="B8"/>
    </sheetView>
  </sheetViews>
  <sheetFormatPr defaultRowHeight="14.4" x14ac:dyDescent="0.3"/>
  <cols>
    <col min="1" max="1" width="17.77734375" customWidth="1"/>
    <col min="2" max="2" width="12.44140625" bestFit="1" customWidth="1"/>
  </cols>
  <sheetData>
    <row r="1" spans="1:2" x14ac:dyDescent="0.3">
      <c r="A1" s="11" t="s">
        <v>125</v>
      </c>
      <c r="B1" s="11" t="s">
        <v>126</v>
      </c>
    </row>
    <row r="2" spans="1:2" x14ac:dyDescent="0.3">
      <c r="A2" t="s">
        <v>47</v>
      </c>
      <c r="B2" s="12">
        <f>SUM(SalesTable[Total Sales])</f>
        <v>45285</v>
      </c>
    </row>
    <row r="3" spans="1:2" x14ac:dyDescent="0.3">
      <c r="A3" t="s">
        <v>127</v>
      </c>
      <c r="B3" s="13">
        <f>SUM(SalesTable[Quantity])</f>
        <v>277</v>
      </c>
    </row>
    <row r="4" spans="1:2" x14ac:dyDescent="0.3">
      <c r="A4" t="s">
        <v>128</v>
      </c>
      <c r="B4">
        <f>COUNTA(SalesTable[Order ID])</f>
        <v>50</v>
      </c>
    </row>
    <row r="5" spans="1:2" x14ac:dyDescent="0.3">
      <c r="A5" t="s">
        <v>129</v>
      </c>
      <c r="B5">
        <f>AVEDEV(SalesTable[Total Sales])</f>
        <v>485.89600000000007</v>
      </c>
    </row>
    <row r="6" spans="1:2" x14ac:dyDescent="0.3">
      <c r="A6" t="s">
        <v>130</v>
      </c>
      <c r="B6">
        <f>MAX(SalesTable[Total Sales])</f>
        <v>2550</v>
      </c>
    </row>
    <row r="7" spans="1:2" x14ac:dyDescent="0.3">
      <c r="A7" t="s">
        <v>131</v>
      </c>
      <c r="B7">
        <f>MIN(SalesTable[Total Sales])</f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01277-4A17-4655-A0DA-497ED2E4F0D4}">
  <dimension ref="A1:K51"/>
  <sheetViews>
    <sheetView zoomScale="70" zoomScaleNormal="100" workbookViewId="0">
      <selection activeCell="B2" sqref="B2"/>
    </sheetView>
  </sheetViews>
  <sheetFormatPr defaultRowHeight="14.4" x14ac:dyDescent="0.3"/>
  <cols>
    <col min="1" max="1" width="9.88671875" customWidth="1"/>
    <col min="2" max="2" width="12.33203125" customWidth="1"/>
    <col min="3" max="3" width="17.5546875" customWidth="1"/>
    <col min="5" max="5" width="13.6640625" customWidth="1"/>
    <col min="6" max="6" width="17.5546875" customWidth="1"/>
    <col min="7" max="7" width="17.6640625" customWidth="1"/>
    <col min="8" max="8" width="10.21875" customWidth="1"/>
    <col min="9" max="9" width="11" customWidth="1"/>
    <col min="10" max="10" width="14.6640625" customWidth="1"/>
    <col min="11" max="11" width="17.77734375" customWidth="1"/>
  </cols>
  <sheetData>
    <row r="1" spans="1:11" x14ac:dyDescent="0.3">
      <c r="A1" s="5" t="s">
        <v>43</v>
      </c>
      <c r="B1" s="6" t="s">
        <v>44</v>
      </c>
      <c r="C1" s="5" t="s">
        <v>34</v>
      </c>
      <c r="D1" s="5" t="s">
        <v>0</v>
      </c>
      <c r="E1" s="5" t="s">
        <v>5</v>
      </c>
      <c r="F1" s="5" t="s">
        <v>14</v>
      </c>
      <c r="G1" s="5" t="s">
        <v>23</v>
      </c>
      <c r="H1" s="5" t="s">
        <v>45</v>
      </c>
      <c r="I1" s="5" t="s">
        <v>46</v>
      </c>
      <c r="J1" s="5" t="s">
        <v>47</v>
      </c>
      <c r="K1" s="5" t="s">
        <v>29</v>
      </c>
    </row>
    <row r="2" spans="1:11" x14ac:dyDescent="0.3">
      <c r="A2" s="2" t="s">
        <v>48</v>
      </c>
      <c r="B2" s="1">
        <v>46023</v>
      </c>
      <c r="C2" s="2" t="s">
        <v>35</v>
      </c>
      <c r="D2" s="2" t="s">
        <v>1</v>
      </c>
      <c r="E2" s="2" t="s">
        <v>6</v>
      </c>
      <c r="F2" s="2" t="s">
        <v>15</v>
      </c>
      <c r="G2" s="2" t="s">
        <v>24</v>
      </c>
      <c r="H2" s="9">
        <v>2</v>
      </c>
      <c r="I2" s="7">
        <v>850</v>
      </c>
      <c r="J2" s="7">
        <f>SalesTable[[#This Row],[Quantity]]*SalesTable[[#This Row],[Unit Price]]</f>
        <v>1700</v>
      </c>
      <c r="K2" s="2"/>
    </row>
    <row r="3" spans="1:11" x14ac:dyDescent="0.3">
      <c r="A3" s="4" t="s">
        <v>49</v>
      </c>
      <c r="B3" s="3">
        <v>46054</v>
      </c>
      <c r="C3" s="4" t="s">
        <v>36</v>
      </c>
      <c r="D3" s="4" t="s">
        <v>2</v>
      </c>
      <c r="E3" s="4" t="s">
        <v>7</v>
      </c>
      <c r="F3" s="4" t="s">
        <v>16</v>
      </c>
      <c r="G3" s="4" t="s">
        <v>24</v>
      </c>
      <c r="H3" s="10">
        <v>3</v>
      </c>
      <c r="I3" s="8">
        <v>320</v>
      </c>
      <c r="J3" s="8">
        <f>SalesTable[[#This Row],[Quantity]]*SalesTable[[#This Row],[Unit Price]]</f>
        <v>960</v>
      </c>
      <c r="K3" s="4"/>
    </row>
    <row r="4" spans="1:11" x14ac:dyDescent="0.3">
      <c r="A4" s="2" t="s">
        <v>50</v>
      </c>
      <c r="B4" s="1">
        <v>46082</v>
      </c>
      <c r="C4" s="2" t="s">
        <v>37</v>
      </c>
      <c r="D4" s="2" t="s">
        <v>3</v>
      </c>
      <c r="E4" s="2" t="s">
        <v>8</v>
      </c>
      <c r="F4" s="2" t="s">
        <v>17</v>
      </c>
      <c r="G4" s="2" t="s">
        <v>25</v>
      </c>
      <c r="H4" s="9">
        <v>5</v>
      </c>
      <c r="I4" s="7">
        <v>45</v>
      </c>
      <c r="J4" s="7">
        <f>SalesTable[[#This Row],[Quantity]]*SalesTable[[#This Row],[Unit Price]]</f>
        <v>225</v>
      </c>
      <c r="K4" s="2"/>
    </row>
    <row r="5" spans="1:11" x14ac:dyDescent="0.3">
      <c r="A5" s="4" t="s">
        <v>51</v>
      </c>
      <c r="B5" s="3">
        <v>46143</v>
      </c>
      <c r="C5" s="4" t="s">
        <v>38</v>
      </c>
      <c r="D5" s="4" t="s">
        <v>4</v>
      </c>
      <c r="E5" s="4" t="s">
        <v>9</v>
      </c>
      <c r="F5" s="4" t="s">
        <v>18</v>
      </c>
      <c r="G5" s="4" t="s">
        <v>25</v>
      </c>
      <c r="H5" s="10">
        <v>8</v>
      </c>
      <c r="I5" s="8">
        <v>25</v>
      </c>
      <c r="J5" s="8">
        <f>SalesTable[[#This Row],[Quantity]]*SalesTable[[#This Row],[Unit Price]]</f>
        <v>200</v>
      </c>
      <c r="K5" s="4"/>
    </row>
    <row r="6" spans="1:11" x14ac:dyDescent="0.3">
      <c r="A6" s="2" t="s">
        <v>52</v>
      </c>
      <c r="B6" s="1">
        <v>46174</v>
      </c>
      <c r="C6" s="2" t="s">
        <v>39</v>
      </c>
      <c r="D6" s="2" t="s">
        <v>1</v>
      </c>
      <c r="E6" s="2" t="s">
        <v>10</v>
      </c>
      <c r="F6" s="2" t="s">
        <v>19</v>
      </c>
      <c r="G6" s="2" t="s">
        <v>26</v>
      </c>
      <c r="H6" s="9">
        <v>4</v>
      </c>
      <c r="I6" s="7">
        <v>75</v>
      </c>
      <c r="J6" s="7">
        <f>SalesTable[[#This Row],[Quantity]]*SalesTable[[#This Row],[Unit Price]]</f>
        <v>300</v>
      </c>
      <c r="K6" s="2"/>
    </row>
    <row r="7" spans="1:11" x14ac:dyDescent="0.3">
      <c r="A7" s="4" t="s">
        <v>53</v>
      </c>
      <c r="B7" s="3">
        <v>46235</v>
      </c>
      <c r="C7" s="4" t="s">
        <v>40</v>
      </c>
      <c r="D7" s="4" t="s">
        <v>2</v>
      </c>
      <c r="E7" s="4" t="s">
        <v>11</v>
      </c>
      <c r="F7" s="4" t="s">
        <v>20</v>
      </c>
      <c r="G7" s="4" t="s">
        <v>27</v>
      </c>
      <c r="H7" s="10">
        <v>2</v>
      </c>
      <c r="I7" s="8">
        <v>280</v>
      </c>
      <c r="J7" s="8">
        <f>SalesTable[[#This Row],[Quantity]]*SalesTable[[#This Row],[Unit Price]]</f>
        <v>560</v>
      </c>
      <c r="K7" s="4"/>
    </row>
    <row r="8" spans="1:11" x14ac:dyDescent="0.3">
      <c r="A8" s="2" t="s">
        <v>54</v>
      </c>
      <c r="B8" s="1">
        <v>46296</v>
      </c>
      <c r="C8" s="2" t="s">
        <v>41</v>
      </c>
      <c r="D8" s="2" t="s">
        <v>3</v>
      </c>
      <c r="E8" s="2" t="s">
        <v>12</v>
      </c>
      <c r="F8" s="2" t="s">
        <v>21</v>
      </c>
      <c r="G8" s="2" t="s">
        <v>25</v>
      </c>
      <c r="H8" s="9">
        <v>6</v>
      </c>
      <c r="I8" s="7">
        <v>65</v>
      </c>
      <c r="J8" s="7">
        <f>SalesTable[[#This Row],[Quantity]]*SalesTable[[#This Row],[Unit Price]]</f>
        <v>390</v>
      </c>
      <c r="K8" s="2"/>
    </row>
    <row r="9" spans="1:11" x14ac:dyDescent="0.3">
      <c r="A9" s="4" t="s">
        <v>55</v>
      </c>
      <c r="B9" s="3">
        <v>46357</v>
      </c>
      <c r="C9" s="4" t="s">
        <v>42</v>
      </c>
      <c r="D9" s="4" t="s">
        <v>4</v>
      </c>
      <c r="E9" s="4" t="s">
        <v>13</v>
      </c>
      <c r="F9" s="4" t="s">
        <v>22</v>
      </c>
      <c r="G9" s="4" t="s">
        <v>28</v>
      </c>
      <c r="H9" s="10">
        <v>3</v>
      </c>
      <c r="I9" s="8">
        <v>450</v>
      </c>
      <c r="J9" s="8">
        <f>SalesTable[[#This Row],[Quantity]]*SalesTable[[#This Row],[Unit Price]]</f>
        <v>1350</v>
      </c>
      <c r="K9" s="4"/>
    </row>
    <row r="10" spans="1:11" x14ac:dyDescent="0.3">
      <c r="A10" s="2" t="s">
        <v>56</v>
      </c>
      <c r="B10" s="1" t="s">
        <v>57</v>
      </c>
      <c r="C10" s="2" t="s">
        <v>35</v>
      </c>
      <c r="D10" s="2" t="s">
        <v>1</v>
      </c>
      <c r="E10" s="2" t="s">
        <v>6</v>
      </c>
      <c r="F10" s="2" t="s">
        <v>16</v>
      </c>
      <c r="G10" s="2" t="s">
        <v>24</v>
      </c>
      <c r="H10" s="9">
        <v>4</v>
      </c>
      <c r="I10" s="7">
        <v>320</v>
      </c>
      <c r="J10" s="7">
        <f>SalesTable[[#This Row],[Quantity]]*SalesTable[[#This Row],[Unit Price]]</f>
        <v>1280</v>
      </c>
      <c r="K10" s="2"/>
    </row>
    <row r="11" spans="1:11" x14ac:dyDescent="0.3">
      <c r="A11" s="4" t="s">
        <v>58</v>
      </c>
      <c r="B11" s="3" t="s">
        <v>59</v>
      </c>
      <c r="C11" s="4" t="s">
        <v>36</v>
      </c>
      <c r="D11" s="4" t="s">
        <v>2</v>
      </c>
      <c r="E11" s="4" t="s">
        <v>7</v>
      </c>
      <c r="F11" s="4" t="s">
        <v>15</v>
      </c>
      <c r="G11" s="4" t="s">
        <v>24</v>
      </c>
      <c r="H11" s="10">
        <v>1</v>
      </c>
      <c r="I11" s="8">
        <v>850</v>
      </c>
      <c r="J11" s="8">
        <f>SalesTable[[#This Row],[Quantity]]*SalesTable[[#This Row],[Unit Price]]</f>
        <v>850</v>
      </c>
      <c r="K11" s="4"/>
    </row>
    <row r="12" spans="1:11" x14ac:dyDescent="0.3">
      <c r="A12" s="2" t="s">
        <v>60</v>
      </c>
      <c r="B12" s="1" t="s">
        <v>61</v>
      </c>
      <c r="C12" s="2" t="s">
        <v>37</v>
      </c>
      <c r="D12" s="2" t="s">
        <v>3</v>
      </c>
      <c r="E12" s="2" t="s">
        <v>8</v>
      </c>
      <c r="F12" s="2" t="s">
        <v>18</v>
      </c>
      <c r="G12" s="2" t="s">
        <v>25</v>
      </c>
      <c r="H12" s="9">
        <v>10</v>
      </c>
      <c r="I12" s="7">
        <v>25</v>
      </c>
      <c r="J12" s="7">
        <f>SalesTable[[#This Row],[Quantity]]*SalesTable[[#This Row],[Unit Price]]</f>
        <v>250</v>
      </c>
      <c r="K12" s="2"/>
    </row>
    <row r="13" spans="1:11" x14ac:dyDescent="0.3">
      <c r="A13" s="4" t="s">
        <v>62</v>
      </c>
      <c r="B13" s="3" t="s">
        <v>63</v>
      </c>
      <c r="C13" s="4" t="s">
        <v>38</v>
      </c>
      <c r="D13" s="4" t="s">
        <v>4</v>
      </c>
      <c r="E13" s="4" t="s">
        <v>9</v>
      </c>
      <c r="F13" s="4" t="s">
        <v>17</v>
      </c>
      <c r="G13" s="4" t="s">
        <v>25</v>
      </c>
      <c r="H13" s="10">
        <v>6</v>
      </c>
      <c r="I13" s="8">
        <v>45</v>
      </c>
      <c r="J13" s="8">
        <f>SalesTable[[#This Row],[Quantity]]*SalesTable[[#This Row],[Unit Price]]</f>
        <v>270</v>
      </c>
      <c r="K13" s="4"/>
    </row>
    <row r="14" spans="1:11" x14ac:dyDescent="0.3">
      <c r="A14" s="2" t="s">
        <v>64</v>
      </c>
      <c r="B14" s="1" t="s">
        <v>65</v>
      </c>
      <c r="C14" s="2" t="s">
        <v>39</v>
      </c>
      <c r="D14" s="2" t="s">
        <v>1</v>
      </c>
      <c r="E14" s="2" t="s">
        <v>10</v>
      </c>
      <c r="F14" s="2" t="s">
        <v>20</v>
      </c>
      <c r="G14" s="2" t="s">
        <v>27</v>
      </c>
      <c r="H14" s="9">
        <v>3</v>
      </c>
      <c r="I14" s="7">
        <v>280</v>
      </c>
      <c r="J14" s="7">
        <f>SalesTable[[#This Row],[Quantity]]*SalesTable[[#This Row],[Unit Price]]</f>
        <v>840</v>
      </c>
      <c r="K14" s="2"/>
    </row>
    <row r="15" spans="1:11" x14ac:dyDescent="0.3">
      <c r="A15" s="4" t="s">
        <v>66</v>
      </c>
      <c r="B15" s="3" t="s">
        <v>67</v>
      </c>
      <c r="C15" s="4" t="s">
        <v>40</v>
      </c>
      <c r="D15" s="4" t="s">
        <v>2</v>
      </c>
      <c r="E15" s="4" t="s">
        <v>11</v>
      </c>
      <c r="F15" s="4" t="s">
        <v>19</v>
      </c>
      <c r="G15" s="4" t="s">
        <v>26</v>
      </c>
      <c r="H15" s="10">
        <v>7</v>
      </c>
      <c r="I15" s="8">
        <v>75</v>
      </c>
      <c r="J15" s="8">
        <f>SalesTable[[#This Row],[Quantity]]*SalesTable[[#This Row],[Unit Price]]</f>
        <v>525</v>
      </c>
      <c r="K15" s="4"/>
    </row>
    <row r="16" spans="1:11" x14ac:dyDescent="0.3">
      <c r="A16" s="2" t="s">
        <v>68</v>
      </c>
      <c r="B16" s="1" t="s">
        <v>69</v>
      </c>
      <c r="C16" s="2" t="s">
        <v>41</v>
      </c>
      <c r="D16" s="2" t="s">
        <v>3</v>
      </c>
      <c r="E16" s="2" t="s">
        <v>12</v>
      </c>
      <c r="F16" s="2" t="s">
        <v>15</v>
      </c>
      <c r="G16" s="2" t="s">
        <v>24</v>
      </c>
      <c r="H16" s="9">
        <v>2</v>
      </c>
      <c r="I16" s="7">
        <v>850</v>
      </c>
      <c r="J16" s="7">
        <f>SalesTable[[#This Row],[Quantity]]*SalesTable[[#This Row],[Unit Price]]</f>
        <v>1700</v>
      </c>
      <c r="K16" s="2"/>
    </row>
    <row r="17" spans="1:11" x14ac:dyDescent="0.3">
      <c r="A17" s="4" t="s">
        <v>70</v>
      </c>
      <c r="B17" s="3">
        <v>46055</v>
      </c>
      <c r="C17" s="4" t="s">
        <v>42</v>
      </c>
      <c r="D17" s="4" t="s">
        <v>4</v>
      </c>
      <c r="E17" s="4" t="s">
        <v>13</v>
      </c>
      <c r="F17" s="4" t="s">
        <v>21</v>
      </c>
      <c r="G17" s="4" t="s">
        <v>25</v>
      </c>
      <c r="H17" s="10">
        <v>5</v>
      </c>
      <c r="I17" s="8">
        <v>65</v>
      </c>
      <c r="J17" s="8">
        <f>SalesTable[[#This Row],[Quantity]]*SalesTable[[#This Row],[Unit Price]]</f>
        <v>325</v>
      </c>
      <c r="K17" s="4"/>
    </row>
    <row r="18" spans="1:11" x14ac:dyDescent="0.3">
      <c r="A18" s="2" t="s">
        <v>71</v>
      </c>
      <c r="B18" s="1">
        <v>46114</v>
      </c>
      <c r="C18" s="2" t="s">
        <v>35</v>
      </c>
      <c r="D18" s="2" t="s">
        <v>1</v>
      </c>
      <c r="E18" s="2" t="s">
        <v>6</v>
      </c>
      <c r="F18" s="2" t="s">
        <v>22</v>
      </c>
      <c r="G18" s="2" t="s">
        <v>28</v>
      </c>
      <c r="H18" s="9">
        <v>4</v>
      </c>
      <c r="I18" s="7">
        <v>450</v>
      </c>
      <c r="J18" s="7">
        <f>SalesTable[[#This Row],[Quantity]]*SalesTable[[#This Row],[Unit Price]]</f>
        <v>1800</v>
      </c>
      <c r="K18" s="2"/>
    </row>
    <row r="19" spans="1:11" x14ac:dyDescent="0.3">
      <c r="A19" s="4" t="s">
        <v>72</v>
      </c>
      <c r="B19" s="3">
        <v>46175</v>
      </c>
      <c r="C19" s="4" t="s">
        <v>36</v>
      </c>
      <c r="D19" s="4" t="s">
        <v>2</v>
      </c>
      <c r="E19" s="4" t="s">
        <v>7</v>
      </c>
      <c r="F19" s="4" t="s">
        <v>18</v>
      </c>
      <c r="G19" s="4" t="s">
        <v>25</v>
      </c>
      <c r="H19" s="10">
        <v>12</v>
      </c>
      <c r="I19" s="8">
        <v>25</v>
      </c>
      <c r="J19" s="8">
        <f>SalesTable[[#This Row],[Quantity]]*SalesTable[[#This Row],[Unit Price]]</f>
        <v>300</v>
      </c>
      <c r="K19" s="4"/>
    </row>
    <row r="20" spans="1:11" x14ac:dyDescent="0.3">
      <c r="A20" s="2" t="s">
        <v>73</v>
      </c>
      <c r="B20" s="1">
        <v>46236</v>
      </c>
      <c r="C20" s="2" t="s">
        <v>37</v>
      </c>
      <c r="D20" s="2" t="s">
        <v>3</v>
      </c>
      <c r="E20" s="2" t="s">
        <v>8</v>
      </c>
      <c r="F20" s="2" t="s">
        <v>16</v>
      </c>
      <c r="G20" s="2" t="s">
        <v>24</v>
      </c>
      <c r="H20" s="9">
        <v>2</v>
      </c>
      <c r="I20" s="7">
        <v>320</v>
      </c>
      <c r="J20" s="7">
        <f>SalesTable[[#This Row],[Quantity]]*SalesTable[[#This Row],[Unit Price]]</f>
        <v>640</v>
      </c>
      <c r="K20" s="2"/>
    </row>
    <row r="21" spans="1:11" x14ac:dyDescent="0.3">
      <c r="A21" s="4" t="s">
        <v>74</v>
      </c>
      <c r="B21" s="3">
        <v>46297</v>
      </c>
      <c r="C21" s="4" t="s">
        <v>38</v>
      </c>
      <c r="D21" s="4" t="s">
        <v>4</v>
      </c>
      <c r="E21" s="4" t="s">
        <v>9</v>
      </c>
      <c r="F21" s="4" t="s">
        <v>15</v>
      </c>
      <c r="G21" s="4" t="s">
        <v>24</v>
      </c>
      <c r="H21" s="10">
        <v>3</v>
      </c>
      <c r="I21" s="8">
        <v>850</v>
      </c>
      <c r="J21" s="8">
        <f>SalesTable[[#This Row],[Quantity]]*SalesTable[[#This Row],[Unit Price]]</f>
        <v>2550</v>
      </c>
      <c r="K21" s="4"/>
    </row>
    <row r="22" spans="1:11" x14ac:dyDescent="0.3">
      <c r="A22" s="2" t="s">
        <v>75</v>
      </c>
      <c r="B22" s="1">
        <v>46358</v>
      </c>
      <c r="C22" s="2" t="s">
        <v>39</v>
      </c>
      <c r="D22" s="2" t="s">
        <v>1</v>
      </c>
      <c r="E22" s="2" t="s">
        <v>10</v>
      </c>
      <c r="F22" s="2" t="s">
        <v>17</v>
      </c>
      <c r="G22" s="2" t="s">
        <v>25</v>
      </c>
      <c r="H22" s="9">
        <v>8</v>
      </c>
      <c r="I22" s="7">
        <v>45</v>
      </c>
      <c r="J22" s="7">
        <f>SalesTable[[#This Row],[Quantity]]*SalesTable[[#This Row],[Unit Price]]</f>
        <v>360</v>
      </c>
      <c r="K22" s="2"/>
    </row>
    <row r="23" spans="1:11" x14ac:dyDescent="0.3">
      <c r="A23" s="4" t="s">
        <v>76</v>
      </c>
      <c r="B23" s="3" t="s">
        <v>77</v>
      </c>
      <c r="C23" s="4" t="s">
        <v>40</v>
      </c>
      <c r="D23" s="4" t="s">
        <v>2</v>
      </c>
      <c r="E23" s="4" t="s">
        <v>11</v>
      </c>
      <c r="F23" s="4" t="s">
        <v>20</v>
      </c>
      <c r="G23" s="4" t="s">
        <v>27</v>
      </c>
      <c r="H23" s="10">
        <v>2</v>
      </c>
      <c r="I23" s="8">
        <v>280</v>
      </c>
      <c r="J23" s="8">
        <f>SalesTable[[#This Row],[Quantity]]*SalesTable[[#This Row],[Unit Price]]</f>
        <v>560</v>
      </c>
      <c r="K23" s="4"/>
    </row>
    <row r="24" spans="1:11" x14ac:dyDescent="0.3">
      <c r="A24" s="2" t="s">
        <v>78</v>
      </c>
      <c r="B24" s="1" t="s">
        <v>79</v>
      </c>
      <c r="C24" s="2" t="s">
        <v>41</v>
      </c>
      <c r="D24" s="2" t="s">
        <v>3</v>
      </c>
      <c r="E24" s="2" t="s">
        <v>12</v>
      </c>
      <c r="F24" s="2" t="s">
        <v>19</v>
      </c>
      <c r="G24" s="2" t="s">
        <v>26</v>
      </c>
      <c r="H24" s="9">
        <v>5</v>
      </c>
      <c r="I24" s="7">
        <v>75</v>
      </c>
      <c r="J24" s="7">
        <f>SalesTable[[#This Row],[Quantity]]*SalesTable[[#This Row],[Unit Price]]</f>
        <v>375</v>
      </c>
      <c r="K24" s="2"/>
    </row>
    <row r="25" spans="1:11" x14ac:dyDescent="0.3">
      <c r="A25" s="4" t="s">
        <v>80</v>
      </c>
      <c r="B25" s="3" t="s">
        <v>81</v>
      </c>
      <c r="C25" s="4" t="s">
        <v>42</v>
      </c>
      <c r="D25" s="4" t="s">
        <v>4</v>
      </c>
      <c r="E25" s="4" t="s">
        <v>13</v>
      </c>
      <c r="F25" s="4" t="s">
        <v>22</v>
      </c>
      <c r="G25" s="4" t="s">
        <v>28</v>
      </c>
      <c r="H25" s="10">
        <v>2</v>
      </c>
      <c r="I25" s="8">
        <v>450</v>
      </c>
      <c r="J25" s="8">
        <f>SalesTable[[#This Row],[Quantity]]*SalesTable[[#This Row],[Unit Price]]</f>
        <v>900</v>
      </c>
      <c r="K25" s="4"/>
    </row>
    <row r="26" spans="1:11" x14ac:dyDescent="0.3">
      <c r="A26" s="2" t="s">
        <v>82</v>
      </c>
      <c r="B26" s="1" t="s">
        <v>83</v>
      </c>
      <c r="C26" s="2" t="s">
        <v>35</v>
      </c>
      <c r="D26" s="2" t="s">
        <v>1</v>
      </c>
      <c r="E26" s="2" t="s">
        <v>6</v>
      </c>
      <c r="F26" s="2" t="s">
        <v>21</v>
      </c>
      <c r="G26" s="2" t="s">
        <v>25</v>
      </c>
      <c r="H26" s="9">
        <v>7</v>
      </c>
      <c r="I26" s="7">
        <v>65</v>
      </c>
      <c r="J26" s="7">
        <f>SalesTable[[#This Row],[Quantity]]*SalesTable[[#This Row],[Unit Price]]</f>
        <v>455</v>
      </c>
      <c r="K26" s="2"/>
    </row>
    <row r="27" spans="1:11" x14ac:dyDescent="0.3">
      <c r="A27" s="4" t="s">
        <v>84</v>
      </c>
      <c r="B27" s="3" t="s">
        <v>85</v>
      </c>
      <c r="C27" s="4" t="s">
        <v>36</v>
      </c>
      <c r="D27" s="4" t="s">
        <v>2</v>
      </c>
      <c r="E27" s="4" t="s">
        <v>7</v>
      </c>
      <c r="F27" s="4" t="s">
        <v>15</v>
      </c>
      <c r="G27" s="4" t="s">
        <v>24</v>
      </c>
      <c r="H27" s="10">
        <v>2</v>
      </c>
      <c r="I27" s="8">
        <v>850</v>
      </c>
      <c r="J27" s="8">
        <f>SalesTable[[#This Row],[Quantity]]*SalesTable[[#This Row],[Unit Price]]</f>
        <v>1700</v>
      </c>
      <c r="K27" s="4"/>
    </row>
    <row r="28" spans="1:11" x14ac:dyDescent="0.3">
      <c r="A28" s="2" t="s">
        <v>86</v>
      </c>
      <c r="B28" s="1" t="s">
        <v>87</v>
      </c>
      <c r="C28" s="2" t="s">
        <v>37</v>
      </c>
      <c r="D28" s="2" t="s">
        <v>3</v>
      </c>
      <c r="E28" s="2" t="s">
        <v>8</v>
      </c>
      <c r="F28" s="2" t="s">
        <v>18</v>
      </c>
      <c r="G28" s="2" t="s">
        <v>25</v>
      </c>
      <c r="H28" s="9">
        <v>15</v>
      </c>
      <c r="I28" s="7">
        <v>25</v>
      </c>
      <c r="J28" s="7">
        <f>SalesTable[[#This Row],[Quantity]]*SalesTable[[#This Row],[Unit Price]]</f>
        <v>375</v>
      </c>
      <c r="K28" s="2"/>
    </row>
    <row r="29" spans="1:11" x14ac:dyDescent="0.3">
      <c r="A29" s="4" t="s">
        <v>88</v>
      </c>
      <c r="B29" s="3" t="s">
        <v>89</v>
      </c>
      <c r="C29" s="4" t="s">
        <v>38</v>
      </c>
      <c r="D29" s="4" t="s">
        <v>4</v>
      </c>
      <c r="E29" s="4" t="s">
        <v>9</v>
      </c>
      <c r="F29" s="4" t="s">
        <v>16</v>
      </c>
      <c r="G29" s="4" t="s">
        <v>24</v>
      </c>
      <c r="H29" s="10">
        <v>3</v>
      </c>
      <c r="I29" s="8">
        <v>320</v>
      </c>
      <c r="J29" s="8">
        <f>SalesTable[[#This Row],[Quantity]]*SalesTable[[#This Row],[Unit Price]]</f>
        <v>960</v>
      </c>
      <c r="K29" s="4"/>
    </row>
    <row r="30" spans="1:11" x14ac:dyDescent="0.3">
      <c r="A30" s="2" t="s">
        <v>90</v>
      </c>
      <c r="B30" s="1" t="s">
        <v>91</v>
      </c>
      <c r="C30" s="2" t="s">
        <v>39</v>
      </c>
      <c r="D30" s="2" t="s">
        <v>1</v>
      </c>
      <c r="E30" s="2" t="s">
        <v>10</v>
      </c>
      <c r="F30" s="2" t="s">
        <v>19</v>
      </c>
      <c r="G30" s="2" t="s">
        <v>26</v>
      </c>
      <c r="H30" s="9">
        <v>6</v>
      </c>
      <c r="I30" s="7">
        <v>75</v>
      </c>
      <c r="J30" s="7">
        <f>SalesTable[[#This Row],[Quantity]]*SalesTable[[#This Row],[Unit Price]]</f>
        <v>450</v>
      </c>
      <c r="K30" s="2"/>
    </row>
    <row r="31" spans="1:11" x14ac:dyDescent="0.3">
      <c r="A31" s="4" t="s">
        <v>92</v>
      </c>
      <c r="B31" s="3">
        <v>46056</v>
      </c>
      <c r="C31" s="4" t="s">
        <v>40</v>
      </c>
      <c r="D31" s="4" t="s">
        <v>2</v>
      </c>
      <c r="E31" s="4" t="s">
        <v>11</v>
      </c>
      <c r="F31" s="4" t="s">
        <v>22</v>
      </c>
      <c r="G31" s="4" t="s">
        <v>28</v>
      </c>
      <c r="H31" s="10">
        <v>3</v>
      </c>
      <c r="I31" s="8">
        <v>450</v>
      </c>
      <c r="J31" s="8">
        <f>SalesTable[[#This Row],[Quantity]]*SalesTable[[#This Row],[Unit Price]]</f>
        <v>1350</v>
      </c>
      <c r="K31" s="4"/>
    </row>
    <row r="32" spans="1:11" x14ac:dyDescent="0.3">
      <c r="A32" s="2" t="s">
        <v>93</v>
      </c>
      <c r="B32" s="1">
        <v>46115</v>
      </c>
      <c r="C32" s="2" t="s">
        <v>41</v>
      </c>
      <c r="D32" s="2" t="s">
        <v>3</v>
      </c>
      <c r="E32" s="2" t="s">
        <v>12</v>
      </c>
      <c r="F32" s="2" t="s">
        <v>20</v>
      </c>
      <c r="G32" s="2" t="s">
        <v>27</v>
      </c>
      <c r="H32" s="9">
        <v>4</v>
      </c>
      <c r="I32" s="7">
        <v>280</v>
      </c>
      <c r="J32" s="7">
        <f>SalesTable[[#This Row],[Quantity]]*SalesTable[[#This Row],[Unit Price]]</f>
        <v>1120</v>
      </c>
      <c r="K32" s="2"/>
    </row>
    <row r="33" spans="1:11" x14ac:dyDescent="0.3">
      <c r="A33" s="4" t="s">
        <v>94</v>
      </c>
      <c r="B33" s="3">
        <v>46176</v>
      </c>
      <c r="C33" s="4" t="s">
        <v>42</v>
      </c>
      <c r="D33" s="4" t="s">
        <v>4</v>
      </c>
      <c r="E33" s="4" t="s">
        <v>13</v>
      </c>
      <c r="F33" s="4" t="s">
        <v>15</v>
      </c>
      <c r="G33" s="4" t="s">
        <v>24</v>
      </c>
      <c r="H33" s="10">
        <v>2</v>
      </c>
      <c r="I33" s="8">
        <v>850</v>
      </c>
      <c r="J33" s="8">
        <f>SalesTable[[#This Row],[Quantity]]*SalesTable[[#This Row],[Unit Price]]</f>
        <v>1700</v>
      </c>
      <c r="K33" s="4"/>
    </row>
    <row r="34" spans="1:11" x14ac:dyDescent="0.3">
      <c r="A34" s="2" t="s">
        <v>95</v>
      </c>
      <c r="B34" s="1">
        <v>46237</v>
      </c>
      <c r="C34" s="2" t="s">
        <v>35</v>
      </c>
      <c r="D34" s="2" t="s">
        <v>1</v>
      </c>
      <c r="E34" s="2" t="s">
        <v>6</v>
      </c>
      <c r="F34" s="2" t="s">
        <v>17</v>
      </c>
      <c r="G34" s="2" t="s">
        <v>25</v>
      </c>
      <c r="H34" s="9">
        <v>10</v>
      </c>
      <c r="I34" s="7">
        <v>45</v>
      </c>
      <c r="J34" s="7">
        <f>SalesTable[[#This Row],[Quantity]]*SalesTable[[#This Row],[Unit Price]]</f>
        <v>450</v>
      </c>
      <c r="K34" s="2"/>
    </row>
    <row r="35" spans="1:11" x14ac:dyDescent="0.3">
      <c r="A35" s="4" t="s">
        <v>96</v>
      </c>
      <c r="B35" s="3">
        <v>46298</v>
      </c>
      <c r="C35" s="4" t="s">
        <v>36</v>
      </c>
      <c r="D35" s="4" t="s">
        <v>2</v>
      </c>
      <c r="E35" s="4" t="s">
        <v>7</v>
      </c>
      <c r="F35" s="4" t="s">
        <v>21</v>
      </c>
      <c r="G35" s="4" t="s">
        <v>25</v>
      </c>
      <c r="H35" s="10">
        <v>8</v>
      </c>
      <c r="I35" s="8">
        <v>65</v>
      </c>
      <c r="J35" s="8">
        <f>SalesTable[[#This Row],[Quantity]]*SalesTable[[#This Row],[Unit Price]]</f>
        <v>520</v>
      </c>
      <c r="K35" s="4"/>
    </row>
    <row r="36" spans="1:11" x14ac:dyDescent="0.3">
      <c r="A36" s="2" t="s">
        <v>97</v>
      </c>
      <c r="B36" s="1">
        <v>46359</v>
      </c>
      <c r="C36" s="2" t="s">
        <v>37</v>
      </c>
      <c r="D36" s="2" t="s">
        <v>3</v>
      </c>
      <c r="E36" s="2" t="s">
        <v>8</v>
      </c>
      <c r="F36" s="2" t="s">
        <v>16</v>
      </c>
      <c r="G36" s="2" t="s">
        <v>24</v>
      </c>
      <c r="H36" s="9">
        <v>4</v>
      </c>
      <c r="I36" s="7">
        <v>320</v>
      </c>
      <c r="J36" s="7">
        <f>SalesTable[[#This Row],[Quantity]]*SalesTable[[#This Row],[Unit Price]]</f>
        <v>1280</v>
      </c>
      <c r="K36" s="2"/>
    </row>
    <row r="37" spans="1:11" x14ac:dyDescent="0.3">
      <c r="A37" s="4" t="s">
        <v>98</v>
      </c>
      <c r="B37" s="3" t="s">
        <v>99</v>
      </c>
      <c r="C37" s="4" t="s">
        <v>38</v>
      </c>
      <c r="D37" s="4" t="s">
        <v>4</v>
      </c>
      <c r="E37" s="4" t="s">
        <v>9</v>
      </c>
      <c r="F37" s="4" t="s">
        <v>18</v>
      </c>
      <c r="G37" s="4" t="s">
        <v>25</v>
      </c>
      <c r="H37" s="10">
        <v>20</v>
      </c>
      <c r="I37" s="8">
        <v>25</v>
      </c>
      <c r="J37" s="8">
        <f>SalesTable[[#This Row],[Quantity]]*SalesTable[[#This Row],[Unit Price]]</f>
        <v>500</v>
      </c>
      <c r="K37" s="4"/>
    </row>
    <row r="38" spans="1:11" x14ac:dyDescent="0.3">
      <c r="A38" s="2" t="s">
        <v>100</v>
      </c>
      <c r="B38" s="1" t="s">
        <v>101</v>
      </c>
      <c r="C38" s="2" t="s">
        <v>39</v>
      </c>
      <c r="D38" s="2" t="s">
        <v>1</v>
      </c>
      <c r="E38" s="2" t="s">
        <v>10</v>
      </c>
      <c r="F38" s="2" t="s">
        <v>22</v>
      </c>
      <c r="G38" s="2" t="s">
        <v>28</v>
      </c>
      <c r="H38" s="9">
        <v>2</v>
      </c>
      <c r="I38" s="7">
        <v>450</v>
      </c>
      <c r="J38" s="7">
        <f>SalesTable[[#This Row],[Quantity]]*SalesTable[[#This Row],[Unit Price]]</f>
        <v>900</v>
      </c>
      <c r="K38" s="2"/>
    </row>
    <row r="39" spans="1:11" x14ac:dyDescent="0.3">
      <c r="A39" s="4" t="s">
        <v>102</v>
      </c>
      <c r="B39" s="3" t="s">
        <v>103</v>
      </c>
      <c r="C39" s="4" t="s">
        <v>40</v>
      </c>
      <c r="D39" s="4" t="s">
        <v>2</v>
      </c>
      <c r="E39" s="4" t="s">
        <v>11</v>
      </c>
      <c r="F39" s="4" t="s">
        <v>19</v>
      </c>
      <c r="G39" s="4" t="s">
        <v>26</v>
      </c>
      <c r="H39" s="10">
        <v>9</v>
      </c>
      <c r="I39" s="8">
        <v>75</v>
      </c>
      <c r="J39" s="8">
        <f>SalesTable[[#This Row],[Quantity]]*SalesTable[[#This Row],[Unit Price]]</f>
        <v>675</v>
      </c>
      <c r="K39" s="4"/>
    </row>
    <row r="40" spans="1:11" x14ac:dyDescent="0.3">
      <c r="A40" s="2" t="s">
        <v>104</v>
      </c>
      <c r="B40" s="1" t="s">
        <v>105</v>
      </c>
      <c r="C40" s="2" t="s">
        <v>41</v>
      </c>
      <c r="D40" s="2" t="s">
        <v>3</v>
      </c>
      <c r="E40" s="2" t="s">
        <v>12</v>
      </c>
      <c r="F40" s="2" t="s">
        <v>15</v>
      </c>
      <c r="G40" s="2" t="s">
        <v>24</v>
      </c>
      <c r="H40" s="9">
        <v>1</v>
      </c>
      <c r="I40" s="7">
        <v>850</v>
      </c>
      <c r="J40" s="7">
        <f>SalesTable[[#This Row],[Quantity]]*SalesTable[[#This Row],[Unit Price]]</f>
        <v>850</v>
      </c>
      <c r="K40" s="2"/>
    </row>
    <row r="41" spans="1:11" x14ac:dyDescent="0.3">
      <c r="A41" s="4" t="s">
        <v>106</v>
      </c>
      <c r="B41" s="3" t="s">
        <v>107</v>
      </c>
      <c r="C41" s="4" t="s">
        <v>42</v>
      </c>
      <c r="D41" s="4" t="s">
        <v>4</v>
      </c>
      <c r="E41" s="4" t="s">
        <v>13</v>
      </c>
      <c r="F41" s="4" t="s">
        <v>20</v>
      </c>
      <c r="G41" s="4" t="s">
        <v>27</v>
      </c>
      <c r="H41" s="10">
        <v>3</v>
      </c>
      <c r="I41" s="8">
        <v>280</v>
      </c>
      <c r="J41" s="8">
        <f>SalesTable[[#This Row],[Quantity]]*SalesTable[[#This Row],[Unit Price]]</f>
        <v>840</v>
      </c>
      <c r="K41" s="4"/>
    </row>
    <row r="42" spans="1:11" x14ac:dyDescent="0.3">
      <c r="A42" s="2" t="s">
        <v>108</v>
      </c>
      <c r="B42" s="1" t="s">
        <v>109</v>
      </c>
      <c r="C42" s="2" t="s">
        <v>35</v>
      </c>
      <c r="D42" s="2" t="s">
        <v>1</v>
      </c>
      <c r="E42" s="2" t="s">
        <v>6</v>
      </c>
      <c r="F42" s="2" t="s">
        <v>22</v>
      </c>
      <c r="G42" s="2" t="s">
        <v>28</v>
      </c>
      <c r="H42" s="9">
        <v>3</v>
      </c>
      <c r="I42" s="7">
        <v>450</v>
      </c>
      <c r="J42" s="7">
        <f>SalesTable[[#This Row],[Quantity]]*SalesTable[[#This Row],[Unit Price]]</f>
        <v>1350</v>
      </c>
      <c r="K42" s="2"/>
    </row>
    <row r="43" spans="1:11" x14ac:dyDescent="0.3">
      <c r="A43" s="4" t="s">
        <v>110</v>
      </c>
      <c r="B43" s="3" t="s">
        <v>111</v>
      </c>
      <c r="C43" s="4" t="s">
        <v>36</v>
      </c>
      <c r="D43" s="4" t="s">
        <v>2</v>
      </c>
      <c r="E43" s="4" t="s">
        <v>7</v>
      </c>
      <c r="F43" s="4" t="s">
        <v>17</v>
      </c>
      <c r="G43" s="4" t="s">
        <v>25</v>
      </c>
      <c r="H43" s="10">
        <v>12</v>
      </c>
      <c r="I43" s="8">
        <v>45</v>
      </c>
      <c r="J43" s="8">
        <f>SalesTable[[#This Row],[Quantity]]*SalesTable[[#This Row],[Unit Price]]</f>
        <v>540</v>
      </c>
      <c r="K43" s="4"/>
    </row>
    <row r="44" spans="1:11" x14ac:dyDescent="0.3">
      <c r="A44" s="2" t="s">
        <v>112</v>
      </c>
      <c r="B44" s="1" t="s">
        <v>113</v>
      </c>
      <c r="C44" s="2" t="s">
        <v>37</v>
      </c>
      <c r="D44" s="2" t="s">
        <v>3</v>
      </c>
      <c r="E44" s="2" t="s">
        <v>8</v>
      </c>
      <c r="F44" s="2" t="s">
        <v>15</v>
      </c>
      <c r="G44" s="2" t="s">
        <v>24</v>
      </c>
      <c r="H44" s="9">
        <v>2</v>
      </c>
      <c r="I44" s="7">
        <v>850</v>
      </c>
      <c r="J44" s="7">
        <f>SalesTable[[#This Row],[Quantity]]*SalesTable[[#This Row],[Unit Price]]</f>
        <v>1700</v>
      </c>
      <c r="K44" s="2"/>
    </row>
    <row r="45" spans="1:11" x14ac:dyDescent="0.3">
      <c r="A45" s="4" t="s">
        <v>114</v>
      </c>
      <c r="B45" s="3" t="s">
        <v>115</v>
      </c>
      <c r="C45" s="4" t="s">
        <v>38</v>
      </c>
      <c r="D45" s="4" t="s">
        <v>4</v>
      </c>
      <c r="E45" s="4" t="s">
        <v>9</v>
      </c>
      <c r="F45" s="4" t="s">
        <v>21</v>
      </c>
      <c r="G45" s="4" t="s">
        <v>25</v>
      </c>
      <c r="H45" s="10">
        <v>10</v>
      </c>
      <c r="I45" s="8">
        <v>65</v>
      </c>
      <c r="J45" s="8">
        <f>SalesTable[[#This Row],[Quantity]]*SalesTable[[#This Row],[Unit Price]]</f>
        <v>650</v>
      </c>
      <c r="K45" s="4"/>
    </row>
    <row r="46" spans="1:11" x14ac:dyDescent="0.3">
      <c r="A46" s="2" t="s">
        <v>116</v>
      </c>
      <c r="B46" s="1">
        <v>46026</v>
      </c>
      <c r="C46" s="2" t="s">
        <v>39</v>
      </c>
      <c r="D46" s="2" t="s">
        <v>1</v>
      </c>
      <c r="E46" s="2" t="s">
        <v>10</v>
      </c>
      <c r="F46" s="2" t="s">
        <v>16</v>
      </c>
      <c r="G46" s="2" t="s">
        <v>24</v>
      </c>
      <c r="H46" s="9">
        <v>5</v>
      </c>
      <c r="I46" s="7">
        <v>320</v>
      </c>
      <c r="J46" s="7">
        <f>SalesTable[[#This Row],[Quantity]]*SalesTable[[#This Row],[Unit Price]]</f>
        <v>1600</v>
      </c>
      <c r="K46" s="2"/>
    </row>
    <row r="47" spans="1:11" x14ac:dyDescent="0.3">
      <c r="A47" s="4" t="s">
        <v>117</v>
      </c>
      <c r="B47" s="3">
        <v>46146</v>
      </c>
      <c r="C47" s="4" t="s">
        <v>40</v>
      </c>
      <c r="D47" s="4" t="s">
        <v>2</v>
      </c>
      <c r="E47" s="4" t="s">
        <v>11</v>
      </c>
      <c r="F47" s="4" t="s">
        <v>18</v>
      </c>
      <c r="G47" s="4" t="s">
        <v>25</v>
      </c>
      <c r="H47" s="10">
        <v>18</v>
      </c>
      <c r="I47" s="8">
        <v>25</v>
      </c>
      <c r="J47" s="8">
        <f>SalesTable[[#This Row],[Quantity]]*SalesTable[[#This Row],[Unit Price]]</f>
        <v>450</v>
      </c>
      <c r="K47" s="4"/>
    </row>
    <row r="48" spans="1:11" x14ac:dyDescent="0.3">
      <c r="A48" s="2" t="s">
        <v>118</v>
      </c>
      <c r="B48" s="1">
        <v>46299</v>
      </c>
      <c r="C48" s="2" t="s">
        <v>41</v>
      </c>
      <c r="D48" s="2" t="s">
        <v>3</v>
      </c>
      <c r="E48" s="2" t="s">
        <v>12</v>
      </c>
      <c r="F48" s="2" t="s">
        <v>22</v>
      </c>
      <c r="G48" s="2" t="s">
        <v>28</v>
      </c>
      <c r="H48" s="9">
        <v>4</v>
      </c>
      <c r="I48" s="7">
        <v>450</v>
      </c>
      <c r="J48" s="7">
        <f>SalesTable[[#This Row],[Quantity]]*SalesTable[[#This Row],[Unit Price]]</f>
        <v>1800</v>
      </c>
      <c r="K48" s="2"/>
    </row>
    <row r="49" spans="1:11" x14ac:dyDescent="0.3">
      <c r="A49" s="4" t="s">
        <v>119</v>
      </c>
      <c r="B49" s="3" t="s">
        <v>120</v>
      </c>
      <c r="C49" s="4" t="s">
        <v>42</v>
      </c>
      <c r="D49" s="4" t="s">
        <v>4</v>
      </c>
      <c r="E49" s="4" t="s">
        <v>13</v>
      </c>
      <c r="F49" s="4" t="s">
        <v>15</v>
      </c>
      <c r="G49" s="4" t="s">
        <v>24</v>
      </c>
      <c r="H49" s="10">
        <v>3</v>
      </c>
      <c r="I49" s="8">
        <v>850</v>
      </c>
      <c r="J49" s="8">
        <f>SalesTable[[#This Row],[Quantity]]*SalesTable[[#This Row],[Unit Price]]</f>
        <v>2550</v>
      </c>
      <c r="K49" s="4"/>
    </row>
    <row r="50" spans="1:11" x14ac:dyDescent="0.3">
      <c r="A50" s="2" t="s">
        <v>121</v>
      </c>
      <c r="B50" s="1" t="s">
        <v>122</v>
      </c>
      <c r="C50" s="2" t="s">
        <v>35</v>
      </c>
      <c r="D50" s="2" t="s">
        <v>1</v>
      </c>
      <c r="E50" s="2" t="s">
        <v>6</v>
      </c>
      <c r="F50" s="2" t="s">
        <v>20</v>
      </c>
      <c r="G50" s="2" t="s">
        <v>27</v>
      </c>
      <c r="H50" s="9">
        <v>2</v>
      </c>
      <c r="I50" s="7">
        <v>280</v>
      </c>
      <c r="J50" s="7">
        <f>SalesTable[[#This Row],[Quantity]]*SalesTable[[#This Row],[Unit Price]]</f>
        <v>560</v>
      </c>
      <c r="K50" s="2"/>
    </row>
    <row r="51" spans="1:11" x14ac:dyDescent="0.3">
      <c r="A51" s="4" t="s">
        <v>123</v>
      </c>
      <c r="B51" s="3" t="s">
        <v>124</v>
      </c>
      <c r="C51" s="4" t="s">
        <v>36</v>
      </c>
      <c r="D51" s="4" t="s">
        <v>2</v>
      </c>
      <c r="E51" s="4" t="s">
        <v>7</v>
      </c>
      <c r="F51" s="4" t="s">
        <v>19</v>
      </c>
      <c r="G51" s="4" t="s">
        <v>26</v>
      </c>
      <c r="H51" s="10">
        <v>10</v>
      </c>
      <c r="I51" s="8">
        <v>75</v>
      </c>
      <c r="J51" s="8">
        <f>SalesTable[[#This Row],[Quantity]]*SalesTable[[#This Row],[Unit Price]]</f>
        <v>750</v>
      </c>
      <c r="K51" s="4"/>
    </row>
  </sheetData>
  <conditionalFormatting sqref="J2:J51">
    <cfRule type="cellIs" dxfId="0" priority="1" operator="greaterThan">
      <formula>1000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514CF98-1168-426A-A01F-F692A5C04037}">
          <x14:formula1>
            <xm:f>Lists!$A$2:$A$5</xm:f>
          </x14:formula1>
          <xm:sqref>D2:D51</xm:sqref>
        </x14:dataValidation>
        <x14:dataValidation type="list" allowBlank="1" showInputMessage="1" showErrorMessage="1" xr:uid="{C86A5359-E68A-4C58-AA92-68F638A6AF92}">
          <x14:formula1>
            <xm:f>Lists!$B$2:$B$9</xm:f>
          </x14:formula1>
          <xm:sqref>E2:E51</xm:sqref>
        </x14:dataValidation>
        <x14:dataValidation type="list" allowBlank="1" showInputMessage="1" showErrorMessage="1" xr:uid="{323F6EDD-9FCB-4538-9939-769070BE6EE8}">
          <x14:formula1>
            <xm:f>Lists!$C$2:$C$9</xm:f>
          </x14:formula1>
          <xm:sqref>F2:F51</xm:sqref>
        </x14:dataValidation>
        <x14:dataValidation type="list" allowBlank="1" showInputMessage="1" showErrorMessage="1" xr:uid="{293A73D2-4BEE-4FEA-9E5F-ACFDE211DC51}">
          <x14:formula1>
            <xm:f>Lists!$E$2:$E$5</xm:f>
          </x14:formula1>
          <xm:sqref>K2:K51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6CF7C-8CCB-4DC7-8227-C90F0F3EDC82}">
  <dimension ref="A1:F9"/>
  <sheetViews>
    <sheetView tabSelected="1" zoomScale="88" zoomScaleNormal="175" workbookViewId="0">
      <selection activeCell="F1" sqref="A1:F1"/>
    </sheetView>
  </sheetViews>
  <sheetFormatPr defaultRowHeight="14.4" x14ac:dyDescent="0.3"/>
  <cols>
    <col min="2" max="2" width="11.77734375" customWidth="1"/>
    <col min="3" max="3" width="12.5546875" customWidth="1"/>
    <col min="4" max="4" width="11.88671875" customWidth="1"/>
    <col min="5" max="6" width="17" customWidth="1"/>
  </cols>
  <sheetData>
    <row r="1" spans="1:6" x14ac:dyDescent="0.3">
      <c r="A1" s="11" t="s">
        <v>0</v>
      </c>
      <c r="B1" s="11" t="s">
        <v>5</v>
      </c>
      <c r="C1" s="11" t="s">
        <v>14</v>
      </c>
      <c r="D1" s="11" t="s">
        <v>23</v>
      </c>
      <c r="E1" s="11" t="s">
        <v>29</v>
      </c>
      <c r="F1" s="11" t="s">
        <v>34</v>
      </c>
    </row>
    <row r="2" spans="1:6" x14ac:dyDescent="0.3">
      <c r="A2" t="s">
        <v>1</v>
      </c>
      <c r="B2" t="s">
        <v>6</v>
      </c>
      <c r="C2" t="s">
        <v>15</v>
      </c>
      <c r="D2" t="s">
        <v>24</v>
      </c>
      <c r="E2" t="s">
        <v>30</v>
      </c>
      <c r="F2" t="s">
        <v>35</v>
      </c>
    </row>
    <row r="3" spans="1:6" x14ac:dyDescent="0.3">
      <c r="A3" t="s">
        <v>2</v>
      </c>
      <c r="B3" t="s">
        <v>7</v>
      </c>
      <c r="C3" t="s">
        <v>16</v>
      </c>
      <c r="D3" t="s">
        <v>25</v>
      </c>
      <c r="E3" t="s">
        <v>31</v>
      </c>
      <c r="F3" t="s">
        <v>36</v>
      </c>
    </row>
    <row r="4" spans="1:6" x14ac:dyDescent="0.3">
      <c r="A4" t="s">
        <v>3</v>
      </c>
      <c r="B4" t="s">
        <v>8</v>
      </c>
      <c r="C4" t="s">
        <v>17</v>
      </c>
      <c r="D4" t="s">
        <v>26</v>
      </c>
      <c r="E4" t="s">
        <v>32</v>
      </c>
      <c r="F4" t="s">
        <v>37</v>
      </c>
    </row>
    <row r="5" spans="1:6" x14ac:dyDescent="0.3">
      <c r="A5" t="s">
        <v>4</v>
      </c>
      <c r="B5" t="s">
        <v>9</v>
      </c>
      <c r="C5" t="s">
        <v>18</v>
      </c>
      <c r="D5" t="s">
        <v>27</v>
      </c>
      <c r="E5" t="s">
        <v>33</v>
      </c>
      <c r="F5" t="s">
        <v>38</v>
      </c>
    </row>
    <row r="6" spans="1:6" x14ac:dyDescent="0.3">
      <c r="B6" t="s">
        <v>10</v>
      </c>
      <c r="C6" t="s">
        <v>19</v>
      </c>
      <c r="D6" t="s">
        <v>28</v>
      </c>
      <c r="F6" t="s">
        <v>39</v>
      </c>
    </row>
    <row r="7" spans="1:6" x14ac:dyDescent="0.3">
      <c r="B7" t="s">
        <v>11</v>
      </c>
      <c r="C7" t="s">
        <v>20</v>
      </c>
      <c r="F7" t="s">
        <v>40</v>
      </c>
    </row>
    <row r="8" spans="1:6" x14ac:dyDescent="0.3">
      <c r="B8" t="s">
        <v>12</v>
      </c>
      <c r="C8" t="s">
        <v>21</v>
      </c>
      <c r="F8" t="s">
        <v>41</v>
      </c>
    </row>
    <row r="9" spans="1:6" x14ac:dyDescent="0.3">
      <c r="B9" t="s">
        <v>13</v>
      </c>
      <c r="C9" t="s">
        <v>22</v>
      </c>
      <c r="F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Analysis</vt:lpstr>
      <vt:lpstr>Calculations</vt:lpstr>
      <vt:lpstr>Sales Data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2026-07-27T06:02:27Z</dcterms:created>
  <dcterms:modified xsi:type="dcterms:W3CDTF">2026-07-29T18:02:23Z</dcterms:modified>
</cp:coreProperties>
</file>